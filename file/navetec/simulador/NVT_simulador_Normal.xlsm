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ccima-my.sharepoint.com/personal/cm_comer_gccima_onmicrosoft_com/Documents/1.-NAVETEC/"/>
    </mc:Choice>
  </mc:AlternateContent>
  <xr:revisionPtr revIDLastSave="5" documentId="8_{AFA4FFD1-D996-4588-B8D1-E19E7C9FB090}" xr6:coauthVersionLast="47" xr6:coauthVersionMax="47" xr10:uidLastSave="{738325A4-199F-4F03-8BBE-61F62A5D5A63}"/>
  <workbookProtection workbookAlgorithmName="SHA-512" workbookHashValue="hrw36fpGauHhgzjpysRKfIhWxM4X2fQApSwAxReFxlTmMGw/gDJYOUrV2eLeRBsp55IHaz/ouUSFviPINzC72A==" workbookSaltValue="7uJYYky3W5YLGNgfO07jng==" workbookSpinCount="100000" lockStructure="1"/>
  <bookViews>
    <workbookView xWindow="-120" yWindow="-120" windowWidth="20730" windowHeight="11040" xr2:uid="{00000000-000D-0000-FFFF-FFFF00000000}"/>
  </bookViews>
  <sheets>
    <sheet name="SIMULADOR" sheetId="1" r:id="rId1"/>
    <sheet name="HOJA DE REGISTRO" sheetId="2" r:id="rId2"/>
    <sheet name="DATOS" sheetId="3" state="hidden" r:id="rId3"/>
  </sheets>
  <externalReferences>
    <externalReference r:id="rId4"/>
  </externalReferences>
  <definedNames>
    <definedName name="_xlnm.Print_Area" localSheetId="0">SIMULADOR!$E$5:$N$201</definedName>
    <definedName name="Categorías">OFFSET('[1]Presupuesto Mensual'!$B$3,1,,COUNTA('[1]Presupuesto Mensual'!$B:$B),)</definedName>
    <definedName name="Gastado">OFFSET('[1]Presupuesto Mensual'!$D$3,1,,COUNTA('[1]Presupuesto Mensual'!$D:$D)-2,)</definedName>
    <definedName name="Presupuesto">OFFSET('[1]Presupuesto Mensual'!$C$3,1,,COUNTA('[1]Presupuesto Mensual'!$C:$C)-2,)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7" i="1" l="1"/>
  <c r="J40" i="1"/>
  <c r="J39" i="1"/>
  <c r="J38" i="1"/>
  <c r="K40" i="1"/>
  <c r="K39" i="1"/>
  <c r="F11" i="2" l="1"/>
  <c r="H22" i="1"/>
  <c r="G22" i="1" s="1"/>
  <c r="G23" i="1"/>
  <c r="G24" i="1"/>
  <c r="F14" i="2" l="1"/>
  <c r="B10" i="2"/>
  <c r="B9" i="2"/>
  <c r="B11" i="2"/>
  <c r="B7" i="2"/>
  <c r="I201" i="1"/>
  <c r="I102" i="1"/>
  <c r="H62" i="1"/>
  <c r="K33" i="1"/>
  <c r="E18" i="2" s="1"/>
  <c r="K32" i="1"/>
  <c r="E17" i="2" s="1"/>
  <c r="J27" i="1"/>
  <c r="D22" i="2"/>
  <c r="F24" i="1"/>
  <c r="B22" i="2"/>
  <c r="P16" i="1"/>
  <c r="F17" i="1"/>
  <c r="K14" i="1"/>
  <c r="K13" i="1"/>
  <c r="E12" i="1"/>
  <c r="A9" i="2" s="1"/>
  <c r="M8" i="1"/>
  <c r="J7" i="1"/>
  <c r="F9" i="2" l="1"/>
  <c r="D25" i="2"/>
  <c r="K15" i="1"/>
  <c r="K16" i="1" s="1"/>
  <c r="K18" i="1" s="1"/>
  <c r="F23" i="1"/>
  <c r="E24" i="1" s="1"/>
  <c r="J28" i="1" s="1"/>
  <c r="H61" i="1"/>
  <c r="H60" i="1" s="1"/>
  <c r="H24" i="1"/>
  <c r="H58" i="1"/>
  <c r="H59" i="1" s="1"/>
  <c r="E67" i="1"/>
  <c r="D23" i="2"/>
  <c r="H109" i="1"/>
  <c r="H108" i="1" s="1"/>
  <c r="K28" i="1"/>
  <c r="E14" i="1"/>
  <c r="L10" i="1"/>
  <c r="K27" i="1"/>
  <c r="F67" i="1"/>
  <c r="L40" i="1" l="1"/>
  <c r="F18" i="2" s="1"/>
  <c r="L38" i="1"/>
  <c r="F16" i="2" s="1"/>
  <c r="L39" i="1"/>
  <c r="F17" i="2" s="1"/>
  <c r="K17" i="1"/>
  <c r="L17" i="1" s="1"/>
  <c r="M17" i="1" s="1"/>
  <c r="F68" i="1"/>
  <c r="E68" i="1"/>
  <c r="H107" i="1"/>
  <c r="L15" i="1"/>
  <c r="M15" i="1" s="1"/>
  <c r="L16" i="1"/>
  <c r="M16" i="1" s="1"/>
  <c r="H55" i="1" s="1"/>
  <c r="L14" i="1"/>
  <c r="M14" i="1" s="1"/>
  <c r="B23" i="2"/>
  <c r="H110" i="1"/>
  <c r="M40" i="1" l="1"/>
  <c r="N40" i="1" s="1"/>
  <c r="G18" i="2" s="1"/>
  <c r="M39" i="1"/>
  <c r="N39" i="1" s="1"/>
  <c r="G17" i="2" s="1"/>
  <c r="L18" i="1"/>
  <c r="M18" i="1" s="1"/>
  <c r="K19" i="1"/>
  <c r="L19" i="1" s="1"/>
  <c r="M19" i="1" s="1"/>
  <c r="H56" i="1" s="1"/>
  <c r="H57" i="1" s="1"/>
  <c r="H68" i="1" s="1"/>
  <c r="M38" i="1"/>
  <c r="N38" i="1" s="1"/>
  <c r="G16" i="2" s="1"/>
  <c r="F69" i="1"/>
  <c r="E69" i="1"/>
  <c r="K20" i="1" l="1"/>
  <c r="L20" i="1" s="1"/>
  <c r="M20" i="1" s="1"/>
  <c r="C17" i="2" s="1"/>
  <c r="K22" i="1"/>
  <c r="L22" i="1" s="1"/>
  <c r="J68" i="1"/>
  <c r="G66" i="1"/>
  <c r="H67" i="1"/>
  <c r="H63" i="1"/>
  <c r="H66" i="1"/>
  <c r="F70" i="1"/>
  <c r="E70" i="1"/>
  <c r="H69" i="1"/>
  <c r="B17" i="2" l="1"/>
  <c r="N20" i="1"/>
  <c r="M22" i="1"/>
  <c r="C18" i="2" s="1"/>
  <c r="B18" i="2"/>
  <c r="K21" i="1"/>
  <c r="L21" i="1" s="1"/>
  <c r="M21" i="1" s="1"/>
  <c r="C16" i="2" s="1"/>
  <c r="K66" i="1"/>
  <c r="L66" i="1" s="1"/>
  <c r="M66" i="1" s="1"/>
  <c r="G67" i="1" s="1"/>
  <c r="J66" i="1"/>
  <c r="F71" i="1"/>
  <c r="E71" i="1"/>
  <c r="H70" i="1"/>
  <c r="H64" i="1"/>
  <c r="N27" i="1"/>
  <c r="J69" i="1"/>
  <c r="J67" i="1"/>
  <c r="B16" i="2" l="1"/>
  <c r="G22" i="2"/>
  <c r="M27" i="1"/>
  <c r="L27" i="1" s="1"/>
  <c r="F22" i="2" s="1"/>
  <c r="K67" i="1"/>
  <c r="L67" i="1" s="1"/>
  <c r="M67" i="1" s="1"/>
  <c r="G68" i="1" s="1"/>
  <c r="J70" i="1"/>
  <c r="F72" i="1"/>
  <c r="E72" i="1"/>
  <c r="H71" i="1"/>
  <c r="K68" i="1" l="1"/>
  <c r="F73" i="1"/>
  <c r="E73" i="1"/>
  <c r="H72" i="1"/>
  <c r="J71" i="1"/>
  <c r="H73" i="1" l="1"/>
  <c r="E74" i="1"/>
  <c r="F74" i="1"/>
  <c r="L68" i="1"/>
  <c r="J72" i="1"/>
  <c r="M68" i="1" l="1"/>
  <c r="G69" i="1" s="1"/>
  <c r="H74" i="1"/>
  <c r="F75" i="1"/>
  <c r="E75" i="1"/>
  <c r="J73" i="1"/>
  <c r="J74" i="1" l="1"/>
  <c r="H75" i="1"/>
  <c r="E76" i="1"/>
  <c r="F76" i="1"/>
  <c r="K69" i="1"/>
  <c r="E77" i="1" l="1"/>
  <c r="H76" i="1"/>
  <c r="F77" i="1"/>
  <c r="J75" i="1"/>
  <c r="L69" i="1"/>
  <c r="J76" i="1" l="1"/>
  <c r="M69" i="1"/>
  <c r="G70" i="1" s="1"/>
  <c r="E78" i="1"/>
  <c r="H77" i="1"/>
  <c r="F78" i="1"/>
  <c r="K70" i="1" l="1"/>
  <c r="J77" i="1"/>
  <c r="E79" i="1"/>
  <c r="H78" i="1"/>
  <c r="F79" i="1"/>
  <c r="L70" i="1" l="1"/>
  <c r="E80" i="1"/>
  <c r="H79" i="1"/>
  <c r="F80" i="1"/>
  <c r="J78" i="1"/>
  <c r="E81" i="1" l="1"/>
  <c r="H80" i="1"/>
  <c r="F81" i="1"/>
  <c r="J79" i="1"/>
  <c r="M70" i="1"/>
  <c r="G71" i="1" s="1"/>
  <c r="J80" i="1" l="1"/>
  <c r="K71" i="1"/>
  <c r="L71" i="1" s="1"/>
  <c r="M71" i="1" s="1"/>
  <c r="G72" i="1" s="1"/>
  <c r="E82" i="1"/>
  <c r="H81" i="1"/>
  <c r="F82" i="1"/>
  <c r="K72" i="1" l="1"/>
  <c r="L72" i="1" s="1"/>
  <c r="M72" i="1" s="1"/>
  <c r="G73" i="1" s="1"/>
  <c r="J81" i="1"/>
  <c r="E83" i="1"/>
  <c r="H82" i="1"/>
  <c r="F83" i="1"/>
  <c r="K73" i="1" l="1"/>
  <c r="L73" i="1" s="1"/>
  <c r="M73" i="1" s="1"/>
  <c r="G74" i="1" s="1"/>
  <c r="J82" i="1"/>
  <c r="E84" i="1"/>
  <c r="H83" i="1"/>
  <c r="F84" i="1"/>
  <c r="K74" i="1" l="1"/>
  <c r="L74" i="1" s="1"/>
  <c r="M74" i="1" s="1"/>
  <c r="G75" i="1" s="1"/>
  <c r="J83" i="1"/>
  <c r="E85" i="1"/>
  <c r="H84" i="1"/>
  <c r="F85" i="1"/>
  <c r="K75" i="1" l="1"/>
  <c r="L75" i="1" s="1"/>
  <c r="M75" i="1" s="1"/>
  <c r="G76" i="1" s="1"/>
  <c r="J84" i="1"/>
  <c r="E86" i="1"/>
  <c r="H85" i="1"/>
  <c r="F86" i="1"/>
  <c r="K76" i="1" l="1"/>
  <c r="L76" i="1" s="1"/>
  <c r="M76" i="1" s="1"/>
  <c r="G77" i="1" s="1"/>
  <c r="J85" i="1"/>
  <c r="E87" i="1"/>
  <c r="H86" i="1"/>
  <c r="F87" i="1"/>
  <c r="K77" i="1" l="1"/>
  <c r="L77" i="1" s="1"/>
  <c r="M77" i="1" s="1"/>
  <c r="G78" i="1" s="1"/>
  <c r="J86" i="1"/>
  <c r="E88" i="1"/>
  <c r="H87" i="1"/>
  <c r="F88" i="1"/>
  <c r="K78" i="1" l="1"/>
  <c r="L78" i="1" s="1"/>
  <c r="M78" i="1" s="1"/>
  <c r="G79" i="1" s="1"/>
  <c r="J87" i="1"/>
  <c r="E89" i="1"/>
  <c r="H88" i="1"/>
  <c r="F89" i="1"/>
  <c r="K79" i="1" l="1"/>
  <c r="L79" i="1" s="1"/>
  <c r="M79" i="1" s="1"/>
  <c r="G80" i="1" s="1"/>
  <c r="J88" i="1"/>
  <c r="E90" i="1"/>
  <c r="H89" i="1"/>
  <c r="F90" i="1"/>
  <c r="K80" i="1" l="1"/>
  <c r="L80" i="1" s="1"/>
  <c r="M80" i="1" s="1"/>
  <c r="G81" i="1" s="1"/>
  <c r="J89" i="1"/>
  <c r="E91" i="1"/>
  <c r="H90" i="1"/>
  <c r="F91" i="1"/>
  <c r="K81" i="1" l="1"/>
  <c r="L81" i="1" s="1"/>
  <c r="M81" i="1" s="1"/>
  <c r="G82" i="1" s="1"/>
  <c r="J90" i="1"/>
  <c r="E92" i="1"/>
  <c r="H91" i="1"/>
  <c r="F92" i="1"/>
  <c r="K82" i="1" l="1"/>
  <c r="L82" i="1" s="1"/>
  <c r="M82" i="1" s="1"/>
  <c r="G83" i="1" s="1"/>
  <c r="J91" i="1"/>
  <c r="E93" i="1"/>
  <c r="H92" i="1"/>
  <c r="F93" i="1"/>
  <c r="K83" i="1" l="1"/>
  <c r="L83" i="1" s="1"/>
  <c r="M83" i="1" s="1"/>
  <c r="G84" i="1" s="1"/>
  <c r="J92" i="1"/>
  <c r="E94" i="1"/>
  <c r="H93" i="1"/>
  <c r="F94" i="1"/>
  <c r="K84" i="1" l="1"/>
  <c r="L84" i="1" s="1"/>
  <c r="M84" i="1" s="1"/>
  <c r="G85" i="1" s="1"/>
  <c r="J93" i="1"/>
  <c r="E95" i="1"/>
  <c r="H94" i="1"/>
  <c r="F95" i="1"/>
  <c r="K85" i="1" l="1"/>
  <c r="L85" i="1" s="1"/>
  <c r="M85" i="1" s="1"/>
  <c r="G86" i="1" s="1"/>
  <c r="J94" i="1"/>
  <c r="E96" i="1"/>
  <c r="H95" i="1"/>
  <c r="F96" i="1"/>
  <c r="K86" i="1" l="1"/>
  <c r="L86" i="1" s="1"/>
  <c r="M86" i="1" s="1"/>
  <c r="G87" i="1" s="1"/>
  <c r="J95" i="1"/>
  <c r="E97" i="1"/>
  <c r="H96" i="1"/>
  <c r="F97" i="1"/>
  <c r="K87" i="1" l="1"/>
  <c r="L87" i="1" s="1"/>
  <c r="M87" i="1" s="1"/>
  <c r="G88" i="1" s="1"/>
  <c r="J96" i="1"/>
  <c r="E98" i="1"/>
  <c r="H97" i="1"/>
  <c r="F98" i="1"/>
  <c r="K88" i="1" l="1"/>
  <c r="L88" i="1" s="1"/>
  <c r="M88" i="1" s="1"/>
  <c r="G89" i="1" s="1"/>
  <c r="J97" i="1"/>
  <c r="E99" i="1"/>
  <c r="H98" i="1"/>
  <c r="F99" i="1"/>
  <c r="K89" i="1" l="1"/>
  <c r="L89" i="1" s="1"/>
  <c r="M89" i="1" s="1"/>
  <c r="G90" i="1" s="1"/>
  <c r="J98" i="1"/>
  <c r="E100" i="1"/>
  <c r="H99" i="1"/>
  <c r="F100" i="1"/>
  <c r="K90" i="1" l="1"/>
  <c r="L90" i="1" s="1"/>
  <c r="M90" i="1" s="1"/>
  <c r="G91" i="1" s="1"/>
  <c r="J99" i="1"/>
  <c r="E101" i="1"/>
  <c r="H100" i="1"/>
  <c r="F101" i="1"/>
  <c r="K91" i="1" l="1"/>
  <c r="L91" i="1" s="1"/>
  <c r="M91" i="1" s="1"/>
  <c r="G92" i="1" s="1"/>
  <c r="J100" i="1"/>
  <c r="H101" i="1"/>
  <c r="E102" i="1"/>
  <c r="K92" i="1" l="1"/>
  <c r="L92" i="1" s="1"/>
  <c r="M92" i="1" s="1"/>
  <c r="G93" i="1" s="1"/>
  <c r="E116" i="1"/>
  <c r="F102" i="1"/>
  <c r="F116" i="1" s="1"/>
  <c r="J101" i="1"/>
  <c r="J102" i="1" s="1"/>
  <c r="H102" i="1"/>
  <c r="K93" i="1" l="1"/>
  <c r="N32" i="1"/>
  <c r="N33" i="1"/>
  <c r="L32" i="1" l="1"/>
  <c r="M32" i="1"/>
  <c r="M33" i="1"/>
  <c r="L33" i="1"/>
  <c r="L93" i="1"/>
  <c r="M93" i="1" l="1"/>
  <c r="G94" i="1" l="1"/>
  <c r="K94" i="1" s="1"/>
  <c r="L94" i="1" l="1"/>
  <c r="M94" i="1" l="1"/>
  <c r="G95" i="1" s="1"/>
  <c r="K95" i="1" l="1"/>
  <c r="L95" i="1" l="1"/>
  <c r="M95" i="1" l="1"/>
  <c r="G96" i="1" s="1"/>
  <c r="K96" i="1" s="1"/>
  <c r="L96" i="1" l="1"/>
  <c r="M96" i="1" l="1"/>
  <c r="G97" i="1" s="1"/>
  <c r="K97" i="1" l="1"/>
  <c r="L97" i="1" l="1"/>
  <c r="M97" i="1" l="1"/>
  <c r="G98" i="1" s="1"/>
  <c r="K98" i="1" s="1"/>
  <c r="L98" i="1" l="1"/>
  <c r="M98" i="1" l="1"/>
  <c r="G99" i="1" s="1"/>
  <c r="K99" i="1" l="1"/>
  <c r="L99" i="1" s="1"/>
  <c r="M99" i="1" s="1"/>
  <c r="G100" i="1" s="1"/>
  <c r="K100" i="1" s="1"/>
  <c r="L100" i="1" s="1"/>
  <c r="M100" i="1" s="1"/>
  <c r="G101" i="1" s="1"/>
  <c r="K101" i="1" l="1"/>
  <c r="L101" i="1" l="1"/>
  <c r="K102" i="1"/>
  <c r="L102" i="1" l="1"/>
  <c r="H105" i="1" s="1"/>
  <c r="H106" i="1" s="1"/>
  <c r="H111" i="1" s="1"/>
  <c r="M101" i="1"/>
  <c r="M102" i="1" s="1"/>
  <c r="G116" i="1" l="1"/>
  <c r="M116" i="1" s="1"/>
  <c r="G117" i="1" s="1"/>
  <c r="E117" i="1" s="1"/>
  <c r="F10" i="2"/>
  <c r="N28" i="1"/>
  <c r="H112" i="1"/>
  <c r="F117" i="1" l="1"/>
  <c r="H117" i="1"/>
  <c r="J117" i="1" s="1"/>
  <c r="K117" i="1"/>
  <c r="G23" i="2"/>
  <c r="M28" i="1"/>
  <c r="L28" i="1"/>
  <c r="F23" i="2" s="1"/>
  <c r="L117" i="1" l="1"/>
  <c r="M117" i="1" s="1"/>
  <c r="G118" i="1" s="1"/>
  <c r="E118" i="1" s="1"/>
  <c r="K118" i="1" s="1"/>
  <c r="F118" i="1" l="1"/>
  <c r="H118" i="1"/>
  <c r="J118" i="1" s="1"/>
  <c r="L118" i="1" s="1"/>
  <c r="M118" i="1" s="1"/>
  <c r="G119" i="1" s="1"/>
  <c r="F119" i="1" l="1"/>
  <c r="E119" i="1"/>
  <c r="K119" i="1" s="1"/>
  <c r="H119" i="1" l="1"/>
  <c r="J119" i="1" s="1"/>
  <c r="L119" i="1" s="1"/>
  <c r="M119" i="1" s="1"/>
  <c r="G120" i="1" s="1"/>
  <c r="E120" i="1" s="1"/>
  <c r="K120" i="1" s="1"/>
  <c r="F120" i="1" l="1"/>
  <c r="H120" i="1"/>
  <c r="J120" i="1" s="1"/>
  <c r="L120" i="1" s="1"/>
  <c r="M120" i="1" s="1"/>
  <c r="G121" i="1" s="1"/>
  <c r="E121" i="1" l="1"/>
  <c r="K121" i="1" s="1"/>
  <c r="F121" i="1"/>
  <c r="H121" i="1" l="1"/>
  <c r="J121" i="1" s="1"/>
  <c r="L121" i="1" s="1"/>
  <c r="M121" i="1" s="1"/>
  <c r="G122" i="1" s="1"/>
  <c r="F122" i="1" s="1"/>
  <c r="E122" i="1" l="1"/>
  <c r="K122" i="1" s="1"/>
  <c r="H122" i="1" l="1"/>
  <c r="J122" i="1" s="1"/>
  <c r="L122" i="1" s="1"/>
  <c r="M122" i="1" s="1"/>
  <c r="G123" i="1" s="1"/>
  <c r="F123" i="1" l="1"/>
  <c r="E123" i="1"/>
  <c r="K123" i="1" s="1"/>
  <c r="H123" i="1" l="1"/>
  <c r="J123" i="1" s="1"/>
  <c r="L123" i="1" s="1"/>
  <c r="M123" i="1" s="1"/>
  <c r="G124" i="1" s="1"/>
  <c r="F124" i="1" l="1"/>
  <c r="E124" i="1"/>
  <c r="K124" i="1" s="1"/>
  <c r="H124" i="1" l="1"/>
  <c r="J124" i="1" s="1"/>
  <c r="L124" i="1" s="1"/>
  <c r="M124" i="1" s="1"/>
  <c r="G125" i="1" s="1"/>
  <c r="F125" i="1" s="1"/>
  <c r="E125" i="1" l="1"/>
  <c r="K125" i="1" s="1"/>
  <c r="H125" i="1" l="1"/>
  <c r="J125" i="1" s="1"/>
  <c r="L125" i="1" s="1"/>
  <c r="M125" i="1" s="1"/>
  <c r="G126" i="1" s="1"/>
  <c r="E126" i="1" s="1"/>
  <c r="K126" i="1" s="1"/>
  <c r="F126" i="1" l="1"/>
  <c r="H126" i="1"/>
  <c r="J126" i="1" s="1"/>
  <c r="L126" i="1" s="1"/>
  <c r="M126" i="1" s="1"/>
  <c r="G127" i="1" s="1"/>
  <c r="F127" i="1" l="1"/>
  <c r="E127" i="1"/>
  <c r="K127" i="1" s="1"/>
  <c r="H127" i="1" l="1"/>
  <c r="J127" i="1" s="1"/>
  <c r="L127" i="1" s="1"/>
  <c r="M127" i="1" s="1"/>
  <c r="G128" i="1" s="1"/>
  <c r="F128" i="1" s="1"/>
  <c r="E128" i="1" l="1"/>
  <c r="K128" i="1" s="1"/>
  <c r="H128" i="1" l="1"/>
  <c r="J128" i="1" s="1"/>
  <c r="L128" i="1" s="1"/>
  <c r="M128" i="1" s="1"/>
  <c r="G129" i="1" s="1"/>
  <c r="E129" i="1" l="1"/>
  <c r="K129" i="1" s="1"/>
  <c r="F129" i="1"/>
  <c r="H129" i="1" l="1"/>
  <c r="J129" i="1" s="1"/>
  <c r="L129" i="1" s="1"/>
  <c r="M129" i="1" s="1"/>
  <c r="G130" i="1" s="1"/>
  <c r="F130" i="1" s="1"/>
  <c r="E130" i="1" l="1"/>
  <c r="K130" i="1" s="1"/>
  <c r="H130" i="1" l="1"/>
  <c r="J130" i="1" s="1"/>
  <c r="L130" i="1" s="1"/>
  <c r="M130" i="1" s="1"/>
  <c r="G131" i="1" s="1"/>
  <c r="F131" i="1" s="1"/>
  <c r="E131" i="1" l="1"/>
  <c r="K131" i="1" s="1"/>
  <c r="H131" i="1" l="1"/>
  <c r="J131" i="1" s="1"/>
  <c r="L131" i="1" s="1"/>
  <c r="M131" i="1" s="1"/>
  <c r="G132" i="1" s="1"/>
  <c r="E132" i="1" s="1"/>
  <c r="K132" i="1" s="1"/>
  <c r="F132" i="1" l="1"/>
  <c r="H132" i="1"/>
  <c r="J132" i="1" s="1"/>
  <c r="L132" i="1" s="1"/>
  <c r="M132" i="1" s="1"/>
  <c r="G133" i="1" s="1"/>
  <c r="E133" i="1" s="1"/>
  <c r="K133" i="1" s="1"/>
  <c r="F133" i="1" l="1"/>
  <c r="H133" i="1"/>
  <c r="J133" i="1" s="1"/>
  <c r="L133" i="1" s="1"/>
  <c r="M133" i="1" s="1"/>
  <c r="G134" i="1" s="1"/>
  <c r="F134" i="1" l="1"/>
  <c r="E134" i="1"/>
  <c r="K134" i="1" s="1"/>
  <c r="H134" i="1" l="1"/>
  <c r="J134" i="1" s="1"/>
  <c r="L134" i="1" s="1"/>
  <c r="M134" i="1" s="1"/>
  <c r="G135" i="1" s="1"/>
  <c r="F135" i="1" s="1"/>
  <c r="E135" i="1" l="1"/>
  <c r="K135" i="1" s="1"/>
  <c r="H135" i="1" l="1"/>
  <c r="J135" i="1" s="1"/>
  <c r="L135" i="1" s="1"/>
  <c r="M135" i="1" s="1"/>
  <c r="G136" i="1" s="1"/>
  <c r="E136" i="1" l="1"/>
  <c r="K136" i="1" s="1"/>
  <c r="F136" i="1"/>
  <c r="H136" i="1" l="1"/>
  <c r="J136" i="1" s="1"/>
  <c r="L136" i="1" s="1"/>
  <c r="M136" i="1" s="1"/>
  <c r="G137" i="1" s="1"/>
  <c r="F137" i="1" l="1"/>
  <c r="E137" i="1"/>
  <c r="K137" i="1" s="1"/>
  <c r="H137" i="1" l="1"/>
  <c r="J137" i="1" s="1"/>
  <c r="L137" i="1" s="1"/>
  <c r="M137" i="1" s="1"/>
  <c r="G138" i="1" s="1"/>
  <c r="F138" i="1" l="1"/>
  <c r="E138" i="1"/>
  <c r="K138" i="1" s="1"/>
  <c r="H138" i="1" l="1"/>
  <c r="J138" i="1" s="1"/>
  <c r="L138" i="1" s="1"/>
  <c r="M138" i="1" s="1"/>
  <c r="G139" i="1" s="1"/>
  <c r="E139" i="1" s="1"/>
  <c r="K139" i="1" s="1"/>
  <c r="F139" i="1" l="1"/>
  <c r="H139" i="1"/>
  <c r="J139" i="1" s="1"/>
  <c r="L139" i="1" s="1"/>
  <c r="M139" i="1" s="1"/>
  <c r="G140" i="1" s="1"/>
  <c r="F140" i="1" l="1"/>
  <c r="E140" i="1"/>
  <c r="K140" i="1" s="1"/>
  <c r="H140" i="1" l="1"/>
  <c r="J140" i="1" s="1"/>
  <c r="L140" i="1" s="1"/>
  <c r="M140" i="1" s="1"/>
  <c r="G141" i="1" s="1"/>
  <c r="E141" i="1" s="1"/>
  <c r="K141" i="1" s="1"/>
  <c r="F141" i="1" l="1"/>
  <c r="H141" i="1"/>
  <c r="J141" i="1" s="1"/>
  <c r="L141" i="1" s="1"/>
  <c r="M141" i="1" s="1"/>
  <c r="G142" i="1" s="1"/>
  <c r="E142" i="1" l="1"/>
  <c r="K142" i="1" s="1"/>
  <c r="F142" i="1"/>
  <c r="H142" i="1" l="1"/>
  <c r="J142" i="1" s="1"/>
  <c r="L142" i="1" s="1"/>
  <c r="M142" i="1" s="1"/>
  <c r="G143" i="1" s="1"/>
  <c r="F143" i="1" l="1"/>
  <c r="E143" i="1"/>
  <c r="K143" i="1" s="1"/>
  <c r="H143" i="1" l="1"/>
  <c r="J143" i="1" s="1"/>
  <c r="L143" i="1" s="1"/>
  <c r="M143" i="1" s="1"/>
  <c r="G144" i="1" s="1"/>
  <c r="F144" i="1" s="1"/>
  <c r="E144" i="1" l="1"/>
  <c r="K144" i="1" s="1"/>
  <c r="H144" i="1" l="1"/>
  <c r="J144" i="1" s="1"/>
  <c r="L144" i="1" s="1"/>
  <c r="M144" i="1" s="1"/>
  <c r="G145" i="1" s="1"/>
  <c r="E145" i="1" s="1"/>
  <c r="K145" i="1" s="1"/>
  <c r="F145" i="1" l="1"/>
  <c r="H145" i="1"/>
  <c r="J145" i="1" s="1"/>
  <c r="L145" i="1" s="1"/>
  <c r="M145" i="1" s="1"/>
  <c r="G146" i="1" s="1"/>
  <c r="E146" i="1" l="1"/>
  <c r="K146" i="1" s="1"/>
  <c r="F146" i="1"/>
  <c r="H146" i="1" l="1"/>
  <c r="J146" i="1" s="1"/>
  <c r="L146" i="1" s="1"/>
  <c r="M146" i="1" s="1"/>
  <c r="G147" i="1" s="1"/>
  <c r="E147" i="1" s="1"/>
  <c r="K147" i="1" s="1"/>
  <c r="F147" i="1" l="1"/>
  <c r="H147" i="1"/>
  <c r="J147" i="1" s="1"/>
  <c r="L147" i="1" s="1"/>
  <c r="M147" i="1" s="1"/>
  <c r="G148" i="1" s="1"/>
  <c r="E148" i="1" s="1"/>
  <c r="K148" i="1" s="1"/>
  <c r="F148" i="1" l="1"/>
  <c r="H148" i="1"/>
  <c r="J148" i="1" s="1"/>
  <c r="L148" i="1" s="1"/>
  <c r="M148" i="1" s="1"/>
  <c r="G149" i="1" s="1"/>
  <c r="E149" i="1" l="1"/>
  <c r="K149" i="1" s="1"/>
  <c r="F149" i="1"/>
  <c r="H149" i="1" l="1"/>
  <c r="J149" i="1" s="1"/>
  <c r="L149" i="1" s="1"/>
  <c r="M149" i="1" s="1"/>
  <c r="G150" i="1" s="1"/>
  <c r="F150" i="1" l="1"/>
  <c r="E150" i="1"/>
  <c r="K150" i="1" s="1"/>
  <c r="H150" i="1" l="1"/>
  <c r="J150" i="1" s="1"/>
  <c r="L150" i="1" s="1"/>
  <c r="M150" i="1" s="1"/>
  <c r="G151" i="1" s="1"/>
  <c r="E151" i="1" l="1"/>
  <c r="K151" i="1" s="1"/>
  <c r="F151" i="1"/>
  <c r="H151" i="1" l="1"/>
  <c r="J151" i="1" s="1"/>
  <c r="L151" i="1" s="1"/>
  <c r="M151" i="1" s="1"/>
  <c r="G152" i="1" s="1"/>
  <c r="E152" i="1" s="1"/>
  <c r="K152" i="1" s="1"/>
  <c r="F152" i="1" l="1"/>
  <c r="H152" i="1"/>
  <c r="J152" i="1" s="1"/>
  <c r="L152" i="1" s="1"/>
  <c r="M152" i="1" s="1"/>
  <c r="G153" i="1" s="1"/>
  <c r="E153" i="1" s="1"/>
  <c r="K153" i="1" s="1"/>
  <c r="F153" i="1" l="1"/>
  <c r="H153" i="1"/>
  <c r="J153" i="1" s="1"/>
  <c r="L153" i="1" s="1"/>
  <c r="M153" i="1" s="1"/>
  <c r="G154" i="1" s="1"/>
  <c r="E154" i="1" s="1"/>
  <c r="K154" i="1" s="1"/>
  <c r="F154" i="1" l="1"/>
  <c r="H154" i="1"/>
  <c r="J154" i="1" s="1"/>
  <c r="L154" i="1" s="1"/>
  <c r="M154" i="1" s="1"/>
  <c r="G155" i="1" s="1"/>
  <c r="F155" i="1" l="1"/>
  <c r="E155" i="1"/>
  <c r="K155" i="1" s="1"/>
  <c r="H155" i="1" l="1"/>
  <c r="J155" i="1" s="1"/>
  <c r="L155" i="1" s="1"/>
  <c r="M155" i="1" s="1"/>
  <c r="G156" i="1" s="1"/>
  <c r="F156" i="1" s="1"/>
  <c r="E156" i="1" l="1"/>
  <c r="K156" i="1" s="1"/>
  <c r="H156" i="1" l="1"/>
  <c r="J156" i="1" s="1"/>
  <c r="L156" i="1" s="1"/>
  <c r="M156" i="1" s="1"/>
  <c r="G157" i="1" s="1"/>
  <c r="F157" i="1" l="1"/>
  <c r="E157" i="1"/>
  <c r="K157" i="1" s="1"/>
  <c r="H157" i="1" l="1"/>
  <c r="J157" i="1" s="1"/>
  <c r="L157" i="1" s="1"/>
  <c r="M157" i="1" s="1"/>
  <c r="G158" i="1" s="1"/>
  <c r="E158" i="1" l="1"/>
  <c r="K158" i="1" s="1"/>
  <c r="F158" i="1"/>
  <c r="H158" i="1" l="1"/>
  <c r="J158" i="1" s="1"/>
  <c r="L158" i="1" s="1"/>
  <c r="M158" i="1" s="1"/>
  <c r="G159" i="1" s="1"/>
  <c r="F159" i="1" s="1"/>
  <c r="E159" i="1" l="1"/>
  <c r="K159" i="1" s="1"/>
  <c r="H159" i="1" l="1"/>
  <c r="J159" i="1" s="1"/>
  <c r="L159" i="1" s="1"/>
  <c r="M159" i="1" s="1"/>
  <c r="G160" i="1" s="1"/>
  <c r="E160" i="1" s="1"/>
  <c r="K160" i="1" s="1"/>
  <c r="H160" i="1" l="1"/>
  <c r="J160" i="1" s="1"/>
  <c r="L160" i="1" s="1"/>
  <c r="M160" i="1" s="1"/>
  <c r="G161" i="1" s="1"/>
  <c r="F160" i="1"/>
  <c r="F161" i="1" l="1"/>
  <c r="E161" i="1"/>
  <c r="K161" i="1" s="1"/>
  <c r="H161" i="1" l="1"/>
  <c r="J161" i="1" s="1"/>
  <c r="L161" i="1" s="1"/>
  <c r="M161" i="1" s="1"/>
  <c r="G162" i="1" s="1"/>
  <c r="F162" i="1" s="1"/>
  <c r="E162" i="1" l="1"/>
  <c r="K162" i="1" s="1"/>
  <c r="H162" i="1" l="1"/>
  <c r="J162" i="1" s="1"/>
  <c r="L162" i="1" s="1"/>
  <c r="M162" i="1" s="1"/>
  <c r="G163" i="1" s="1"/>
  <c r="E163" i="1" s="1"/>
  <c r="K163" i="1" s="1"/>
  <c r="H163" i="1" l="1"/>
  <c r="J163" i="1" s="1"/>
  <c r="L163" i="1" s="1"/>
  <c r="M163" i="1" s="1"/>
  <c r="G164" i="1" s="1"/>
  <c r="E164" i="1" s="1"/>
  <c r="K164" i="1" s="1"/>
  <c r="F163" i="1"/>
  <c r="F164" i="1" l="1"/>
  <c r="H164" i="1"/>
  <c r="J164" i="1" s="1"/>
  <c r="L164" i="1" s="1"/>
  <c r="M164" i="1" s="1"/>
  <c r="G165" i="1" s="1"/>
  <c r="E165" i="1" l="1"/>
  <c r="K165" i="1" s="1"/>
  <c r="F165" i="1"/>
  <c r="H165" i="1" l="1"/>
  <c r="J165" i="1" s="1"/>
  <c r="L165" i="1" s="1"/>
  <c r="M165" i="1" s="1"/>
  <c r="G166" i="1" s="1"/>
  <c r="E166" i="1" l="1"/>
  <c r="K166" i="1" s="1"/>
  <c r="F166" i="1"/>
  <c r="H166" i="1" l="1"/>
  <c r="J166" i="1" s="1"/>
  <c r="L166" i="1" s="1"/>
  <c r="M166" i="1" s="1"/>
  <c r="G167" i="1" s="1"/>
  <c r="F167" i="1" l="1"/>
  <c r="E167" i="1"/>
  <c r="K167" i="1" s="1"/>
  <c r="H167" i="1" l="1"/>
  <c r="J167" i="1" s="1"/>
  <c r="L167" i="1" s="1"/>
  <c r="M167" i="1" s="1"/>
  <c r="G168" i="1" s="1"/>
  <c r="F168" i="1" l="1"/>
  <c r="E168" i="1"/>
  <c r="K168" i="1" s="1"/>
  <c r="H168" i="1" l="1"/>
  <c r="J168" i="1" s="1"/>
  <c r="L168" i="1" s="1"/>
  <c r="M168" i="1" s="1"/>
  <c r="G169" i="1" s="1"/>
  <c r="E169" i="1" l="1"/>
  <c r="K169" i="1" s="1"/>
  <c r="F169" i="1"/>
  <c r="H169" i="1" l="1"/>
  <c r="J169" i="1" s="1"/>
  <c r="L169" i="1" s="1"/>
  <c r="M169" i="1" s="1"/>
  <c r="G170" i="1" s="1"/>
  <c r="E170" i="1" l="1"/>
  <c r="K170" i="1" s="1"/>
  <c r="F170" i="1"/>
  <c r="H170" i="1" l="1"/>
  <c r="J170" i="1" s="1"/>
  <c r="L170" i="1" s="1"/>
  <c r="M170" i="1" s="1"/>
  <c r="G171" i="1" s="1"/>
  <c r="F171" i="1" l="1"/>
  <c r="E171" i="1"/>
  <c r="K171" i="1" s="1"/>
  <c r="H171" i="1" l="1"/>
  <c r="J171" i="1" s="1"/>
  <c r="L171" i="1" s="1"/>
  <c r="M171" i="1" s="1"/>
  <c r="G172" i="1" s="1"/>
  <c r="E172" i="1" l="1"/>
  <c r="K172" i="1" s="1"/>
  <c r="F172" i="1"/>
  <c r="H172" i="1" l="1"/>
  <c r="J172" i="1" s="1"/>
  <c r="L172" i="1" s="1"/>
  <c r="M172" i="1" s="1"/>
  <c r="G173" i="1" s="1"/>
  <c r="F173" i="1" l="1"/>
  <c r="E173" i="1"/>
  <c r="K173" i="1" s="1"/>
  <c r="H173" i="1" l="1"/>
  <c r="J173" i="1" s="1"/>
  <c r="L173" i="1" s="1"/>
  <c r="M173" i="1" s="1"/>
  <c r="G174" i="1" s="1"/>
  <c r="E174" i="1" l="1"/>
  <c r="K174" i="1" s="1"/>
  <c r="F174" i="1"/>
  <c r="H174" i="1" l="1"/>
  <c r="J174" i="1" s="1"/>
  <c r="L174" i="1" s="1"/>
  <c r="M174" i="1" s="1"/>
  <c r="G175" i="1" s="1"/>
  <c r="E175" i="1" l="1"/>
  <c r="K175" i="1" s="1"/>
  <c r="F175" i="1"/>
  <c r="H175" i="1" l="1"/>
  <c r="J175" i="1" s="1"/>
  <c r="L175" i="1" s="1"/>
  <c r="M175" i="1" s="1"/>
  <c r="G176" i="1" s="1"/>
  <c r="F176" i="1" l="1"/>
  <c r="E176" i="1"/>
  <c r="K176" i="1" s="1"/>
  <c r="H176" i="1" l="1"/>
  <c r="J176" i="1" s="1"/>
  <c r="L176" i="1" s="1"/>
  <c r="M176" i="1" s="1"/>
  <c r="G177" i="1" s="1"/>
  <c r="E177" i="1" s="1"/>
  <c r="K177" i="1" s="1"/>
  <c r="F177" i="1" l="1"/>
  <c r="H177" i="1"/>
  <c r="J177" i="1" s="1"/>
  <c r="L177" i="1" s="1"/>
  <c r="M177" i="1" s="1"/>
  <c r="G178" i="1" s="1"/>
  <c r="F178" i="1" l="1"/>
  <c r="E178" i="1"/>
  <c r="K178" i="1" s="1"/>
  <c r="H178" i="1" l="1"/>
  <c r="J178" i="1" s="1"/>
  <c r="L178" i="1" s="1"/>
  <c r="M178" i="1" s="1"/>
  <c r="G179" i="1" s="1"/>
  <c r="E179" i="1" l="1"/>
  <c r="K179" i="1" s="1"/>
  <c r="F179" i="1"/>
  <c r="H179" i="1" l="1"/>
  <c r="J179" i="1" s="1"/>
  <c r="L179" i="1" s="1"/>
  <c r="M179" i="1" s="1"/>
  <c r="G180" i="1" s="1"/>
  <c r="F180" i="1" s="1"/>
  <c r="E180" i="1" l="1"/>
  <c r="K180" i="1" s="1"/>
  <c r="H180" i="1" l="1"/>
  <c r="J180" i="1" s="1"/>
  <c r="L180" i="1" s="1"/>
  <c r="M180" i="1" s="1"/>
  <c r="G181" i="1" s="1"/>
  <c r="E181" i="1" l="1"/>
  <c r="K181" i="1" s="1"/>
  <c r="F181" i="1"/>
  <c r="H181" i="1" l="1"/>
  <c r="J181" i="1" s="1"/>
  <c r="L181" i="1" s="1"/>
  <c r="M181" i="1" s="1"/>
  <c r="G182" i="1" s="1"/>
  <c r="E182" i="1" l="1"/>
  <c r="K182" i="1" s="1"/>
  <c r="F182" i="1"/>
  <c r="H182" i="1" l="1"/>
  <c r="J182" i="1" s="1"/>
  <c r="L182" i="1" s="1"/>
  <c r="M182" i="1" s="1"/>
  <c r="G183" i="1" s="1"/>
  <c r="E183" i="1" l="1"/>
  <c r="F183" i="1"/>
  <c r="K183" i="1" l="1"/>
  <c r="H183" i="1"/>
  <c r="J183" i="1" s="1"/>
  <c r="L183" i="1" l="1"/>
  <c r="M183" i="1" s="1"/>
  <c r="G184" i="1" s="1"/>
  <c r="F184" i="1" s="1"/>
  <c r="E184" i="1" l="1"/>
  <c r="H184" i="1" s="1"/>
  <c r="J184" i="1" s="1"/>
  <c r="K184" i="1" l="1"/>
  <c r="L184" i="1" s="1"/>
  <c r="M184" i="1" s="1"/>
  <c r="G185" i="1" s="1"/>
  <c r="F185" i="1" s="1"/>
  <c r="E185" i="1" l="1"/>
  <c r="K185" i="1" s="1"/>
  <c r="H185" i="1" l="1"/>
  <c r="J185" i="1" s="1"/>
  <c r="L185" i="1" s="1"/>
  <c r="M185" i="1" s="1"/>
  <c r="G186" i="1" s="1"/>
  <c r="E186" i="1" s="1"/>
  <c r="F186" i="1" l="1"/>
  <c r="H186" i="1"/>
  <c r="J186" i="1" s="1"/>
  <c r="K186" i="1"/>
  <c r="L186" i="1" l="1"/>
  <c r="M186" i="1" s="1"/>
  <c r="G187" i="1" s="1"/>
  <c r="E187" i="1" s="1"/>
  <c r="F187" i="1" l="1"/>
  <c r="K187" i="1"/>
  <c r="H187" i="1"/>
  <c r="J187" i="1" s="1"/>
  <c r="L187" i="1" l="1"/>
  <c r="M187" i="1" s="1"/>
  <c r="G188" i="1" s="1"/>
  <c r="E188" i="1" s="1"/>
  <c r="H188" i="1" s="1"/>
  <c r="J188" i="1" s="1"/>
  <c r="F188" i="1" l="1"/>
  <c r="K188" i="1"/>
  <c r="L188" i="1" s="1"/>
  <c r="M188" i="1" s="1"/>
  <c r="G189" i="1" s="1"/>
  <c r="F189" i="1" l="1"/>
  <c r="E189" i="1"/>
  <c r="H189" i="1" l="1"/>
  <c r="J189" i="1" s="1"/>
  <c r="K189" i="1"/>
  <c r="L189" i="1" l="1"/>
  <c r="M189" i="1" s="1"/>
  <c r="G190" i="1" s="1"/>
  <c r="F190" i="1" l="1"/>
  <c r="E190" i="1"/>
  <c r="H190" i="1" l="1"/>
  <c r="J190" i="1" s="1"/>
  <c r="K190" i="1"/>
  <c r="L190" i="1" l="1"/>
  <c r="M190" i="1" s="1"/>
  <c r="G191" i="1" s="1"/>
  <c r="F191" i="1" l="1"/>
  <c r="E191" i="1"/>
  <c r="H191" i="1" l="1"/>
  <c r="J191" i="1" s="1"/>
  <c r="K191" i="1"/>
  <c r="L191" i="1" l="1"/>
  <c r="M191" i="1" s="1"/>
  <c r="G192" i="1" s="1"/>
  <c r="F192" i="1" l="1"/>
  <c r="E192" i="1"/>
  <c r="H192" i="1" l="1"/>
  <c r="J192" i="1" s="1"/>
  <c r="K192" i="1"/>
  <c r="L192" i="1" l="1"/>
  <c r="M192" i="1" s="1"/>
  <c r="G193" i="1" s="1"/>
  <c r="F193" i="1" l="1"/>
  <c r="E193" i="1"/>
  <c r="H193" i="1" l="1"/>
  <c r="J193" i="1" s="1"/>
  <c r="K193" i="1"/>
  <c r="L193" i="1" l="1"/>
  <c r="M193" i="1" s="1"/>
  <c r="G194" i="1" s="1"/>
  <c r="F194" i="1" l="1"/>
  <c r="E194" i="1"/>
  <c r="H194" i="1" l="1"/>
  <c r="J194" i="1" s="1"/>
  <c r="K194" i="1"/>
  <c r="L194" i="1" l="1"/>
  <c r="M194" i="1" s="1"/>
  <c r="G195" i="1" s="1"/>
  <c r="F195" i="1" l="1"/>
  <c r="E195" i="1"/>
  <c r="H195" i="1" l="1"/>
  <c r="J195" i="1" s="1"/>
  <c r="K195" i="1"/>
  <c r="L195" i="1" l="1"/>
  <c r="M195" i="1" s="1"/>
  <c r="G196" i="1" s="1"/>
  <c r="F196" i="1" l="1"/>
  <c r="E196" i="1"/>
  <c r="H196" i="1" l="1"/>
  <c r="J196" i="1" s="1"/>
  <c r="K196" i="1"/>
  <c r="L196" i="1" l="1"/>
  <c r="M196" i="1" s="1"/>
  <c r="G197" i="1" s="1"/>
  <c r="F197" i="1" l="1"/>
  <c r="E197" i="1"/>
  <c r="H197" i="1" l="1"/>
  <c r="J197" i="1" s="1"/>
  <c r="K197" i="1"/>
  <c r="L197" i="1" l="1"/>
  <c r="M197" i="1" s="1"/>
  <c r="G198" i="1" s="1"/>
  <c r="F198" i="1" l="1"/>
  <c r="E198" i="1"/>
  <c r="H198" i="1" l="1"/>
  <c r="J198" i="1" s="1"/>
  <c r="K198" i="1"/>
  <c r="L198" i="1" l="1"/>
  <c r="M198" i="1" s="1"/>
  <c r="G199" i="1" s="1"/>
  <c r="F199" i="1" l="1"/>
  <c r="E199" i="1"/>
  <c r="H199" i="1" l="1"/>
  <c r="J199" i="1" s="1"/>
  <c r="K199" i="1"/>
  <c r="L199" i="1" l="1"/>
  <c r="M199" i="1" s="1"/>
  <c r="G200" i="1" s="1"/>
  <c r="F200" i="1" s="1"/>
  <c r="E200" i="1" l="1"/>
  <c r="H200" i="1" s="1"/>
  <c r="E201" i="1"/>
  <c r="K200" i="1" l="1"/>
  <c r="K201" i="1" s="1"/>
  <c r="J200" i="1"/>
  <c r="H201" i="1"/>
  <c r="L200" i="1" l="1"/>
  <c r="J201" i="1"/>
  <c r="L201" i="1" l="1"/>
  <c r="M200" i="1"/>
  <c r="M20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66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ID#AAAAU3Q5GWA
Control y Medición    (2022-01-30 19:51:26)
Si el Apartado es del 1 al 15 de cada mes , el pago de la  mensulidad empieza al  mes posterior del 1 al 5.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VECnkfquJ+EaZ91ASQUKxqy/vq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Control y Medición</author>
  </authors>
  <commentList>
    <comment ref="B9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======
ID#AAAAU3Q5GV4
Navetec    (2022-01-30 19:51:26)
numero</t>
        </r>
      </text>
    </comment>
    <comment ref="B11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======
ID#AAAAU3Q5GWM
Navetec    (2022-01-30 19:51:26)
SUPERFICIE</t>
        </r>
      </text>
    </comment>
    <comment ref="D2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======
ID#AAAAU3Q5GWQ
Navetec    (2022-01-30 19:51:26)
Colocar cantidad de mensualidades</t>
        </r>
      </text>
    </comment>
    <comment ref="D23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======
ID#AAAAU3Q5GVw
Navetec    (2022-01-30 19:51:26)
Colocar cantidad de mensualidades</t>
        </r>
      </text>
    </comment>
    <comment ref="A34" authorId="1" shapeId="0" xr:uid="{F740F171-6A0D-4849-9437-5050478ABE76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44" authorId="1" shapeId="0" xr:uid="{DBA3C04D-7651-429E-BC6D-38D3D5BA4F28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54" authorId="1" shapeId="0" xr:uid="{67D343C8-3CB4-4126-9384-D59A2DE06DFA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64" authorId="1" shapeId="0" xr:uid="{55FC0CAF-A3BC-4762-8CAB-6B1B61B94364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72" authorId="1" shapeId="0" xr:uid="{E683387F-481D-47BF-A0B2-F6DE49C6FFB0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82" authorId="1" shapeId="0" xr:uid="{DCDC5589-4F3E-4F08-8833-DD323BC23C50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90" authorId="1" shapeId="0" xr:uid="{3E3A39D6-0BBF-4013-A9AD-7B8D72906821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100" authorId="1" shapeId="0" xr:uid="{476B2579-C28B-4372-B14E-3D7BD5CBE086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10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======
ID#AAAAU3Q5GV0
Navetec    (2022-01-30 19:51:26)
SOLO SI APLICA</t>
        </r>
      </text>
    </comment>
    <comment ref="A12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======
ID#AAAAU3Q5GWE
Navetec    (2022-01-30 19:51:26)
GIRO DE LA EMPRESA</t>
        </r>
      </text>
    </comment>
    <comment ref="F12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======
ID#AAAAU3Q5GWU
Navetec    (2022-01-30 19:51:26)
ACTIVIDAD A REALIZAR DENTRO DE LAS INSTALACIONES</t>
        </r>
      </text>
    </comment>
    <comment ref="A13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======
ID#AAAAU3Q5GV8
Navetec    (2022-01-30 19:51:26)
SOLO SI APLICA</t>
        </r>
      </text>
    </comment>
    <comment ref="A143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======
ID#AAAAU3Q5GWI
Navetec    (2022-01-30 19:51:26)
SOLO SI APLICA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wtFBlKlWT5xbU0HUs2qTV9qPDJA=="/>
    </ext>
  </extLst>
</comments>
</file>

<file path=xl/sharedStrings.xml><?xml version="1.0" encoding="utf-8"?>
<sst xmlns="http://schemas.openxmlformats.org/spreadsheetml/2006/main" count="369" uniqueCount="212">
  <si>
    <t>CLIENTE:</t>
  </si>
  <si>
    <t>REFERNCIA:</t>
  </si>
  <si>
    <t>PARQUE:</t>
  </si>
  <si>
    <t>PEDRO ESCOBEDO (Lote)</t>
  </si>
  <si>
    <t>NAVE</t>
  </si>
  <si>
    <t>IMPORTES:</t>
  </si>
  <si>
    <t>SUBTOTAL</t>
  </si>
  <si>
    <t>IVA</t>
  </si>
  <si>
    <t>IMPORTE TOTAL</t>
  </si>
  <si>
    <t>DESCUENTO</t>
  </si>
  <si>
    <t>LOTE</t>
  </si>
  <si>
    <t>Módulo:</t>
  </si>
  <si>
    <t>CELTA</t>
  </si>
  <si>
    <t>Precio de Lista:</t>
  </si>
  <si>
    <t>PEDRO ESCOBEDO (Nave)</t>
  </si>
  <si>
    <t>m2</t>
  </si>
  <si>
    <t xml:space="preserve">Descuento: </t>
  </si>
  <si>
    <t>P.u Lista:</t>
  </si>
  <si>
    <t>Importe de Operación:</t>
  </si>
  <si>
    <t>AEROPUERTO (Nave)</t>
  </si>
  <si>
    <t>P.u Descuento:</t>
  </si>
  <si>
    <t xml:space="preserve">Enganche: </t>
  </si>
  <si>
    <t>AEROPUERTO (Lote)</t>
  </si>
  <si>
    <t>Descuento en el Enganche:</t>
  </si>
  <si>
    <t>SAN LUIS POTOSI (Nave)</t>
  </si>
  <si>
    <t>Enganche extra</t>
  </si>
  <si>
    <t>SAN LUIS POTOSI (Lote)</t>
  </si>
  <si>
    <t>Enganche a Pagar:</t>
  </si>
  <si>
    <t>GAMMA II ETAPA 1</t>
  </si>
  <si>
    <t>FINANCIAMIENTO:</t>
  </si>
  <si>
    <t>Total a Pagar:</t>
  </si>
  <si>
    <t>GAMMA II ETAPA 2</t>
  </si>
  <si>
    <t>Importe a Financiar:</t>
  </si>
  <si>
    <t>STA ROSA (Nave)</t>
  </si>
  <si>
    <t>MENSUALIDADES:</t>
  </si>
  <si>
    <t>N/A</t>
  </si>
  <si>
    <t>ENGANCHE DIFERIDO:</t>
  </si>
  <si>
    <t>ENGANCHE DIFERIDO C/IVA:</t>
  </si>
  <si>
    <t>MENSUALIDAD + ENGANCHE</t>
  </si>
  <si>
    <t>LOTE-AE,SLP, PE 5%,5%</t>
  </si>
  <si>
    <t>NAVE-AE,SLP, PE 10%,10% 10%</t>
  </si>
  <si>
    <t>NAVE-GMA E1 10%,10% 10%</t>
  </si>
  <si>
    <t>NAVE-GMA E2 10%,10% 10%</t>
  </si>
  <si>
    <t>Pago Inmediato:</t>
  </si>
  <si>
    <t>Documentación Requerida:</t>
  </si>
  <si>
    <t>Física.</t>
  </si>
  <si>
    <t>Moral:</t>
  </si>
  <si>
    <t>*Identificación Oficial.</t>
  </si>
  <si>
    <t>*Acta Constitutiva Y Inscripción en el RPPC.</t>
  </si>
  <si>
    <t>*RFC .</t>
  </si>
  <si>
    <t>*Identificación Oficial (Representante legal).</t>
  </si>
  <si>
    <t>*CURP .</t>
  </si>
  <si>
    <t>*RFC (Empresa y Representante Legal).</t>
  </si>
  <si>
    <t>*Comprobante de Domicilio.</t>
  </si>
  <si>
    <t>*Comprobante de Domicilio (Empresa y Representante legal).</t>
  </si>
  <si>
    <t>*Constancia Fiscal</t>
  </si>
  <si>
    <t>Nombre de la Promoción:</t>
  </si>
  <si>
    <t>Vigencia al</t>
  </si>
  <si>
    <t>Precios Sujetos a cambio sin sin previo  aviso.</t>
  </si>
  <si>
    <t>DESGLOSE DE FINANCIAMIENTO A MESES SIN INTERESES</t>
  </si>
  <si>
    <t>MONTO</t>
  </si>
  <si>
    <t>ENGANCHE %</t>
  </si>
  <si>
    <t>FINANCIAR</t>
  </si>
  <si>
    <t>AÑOS</t>
  </si>
  <si>
    <t>MESES</t>
  </si>
  <si>
    <t>PRIMEROS 4 AÑOS</t>
  </si>
  <si>
    <t>MESES S/INT</t>
  </si>
  <si>
    <t>Interés:</t>
  </si>
  <si>
    <t>Mensualidad</t>
  </si>
  <si>
    <t>PERIODO</t>
  </si>
  <si>
    <t>FECHA</t>
  </si>
  <si>
    <t>SALDO INICIAL</t>
  </si>
  <si>
    <t>MENSUALIDAD</t>
  </si>
  <si>
    <t>ABONOS</t>
  </si>
  <si>
    <t>MENSUALIDAD + ABONO</t>
  </si>
  <si>
    <t>INTERÉS</t>
  </si>
  <si>
    <t>ABONO A CAPITAL</t>
  </si>
  <si>
    <t>SALDO FINAL</t>
  </si>
  <si>
    <t>PAGADO</t>
  </si>
  <si>
    <t>POR PAGAR</t>
  </si>
  <si>
    <t>MESES RESTANTES</t>
  </si>
  <si>
    <t>CRÉDITO A 10 AÑOS</t>
  </si>
  <si>
    <t>MESES C/INT</t>
  </si>
  <si>
    <t>Mensualidad:</t>
  </si>
  <si>
    <t>DESGLOSE DE FINANCIAMIENTO A MESES CON INTERESES</t>
  </si>
  <si>
    <t>VENTA</t>
  </si>
  <si>
    <t>INFORMACION GENERAL DE VENTA</t>
  </si>
  <si>
    <t>FORMA DE PAGO:</t>
  </si>
  <si>
    <t>CRÉDITO</t>
  </si>
  <si>
    <t>PARQUE INDUSTRIAL:</t>
  </si>
  <si>
    <t>M2:</t>
  </si>
  <si>
    <t>MODULO:</t>
  </si>
  <si>
    <t>TOTAL DE OPERACIÓN</t>
  </si>
  <si>
    <t>ENGANCHE DIFERIDO</t>
  </si>
  <si>
    <t>SIN/IVA</t>
  </si>
  <si>
    <t>C/IVA</t>
  </si>
  <si>
    <t>TOTAL A PAGAR:</t>
  </si>
  <si>
    <t>PAGO INMEDIATO</t>
  </si>
  <si>
    <t>ENGANCHE:</t>
  </si>
  <si>
    <t>FINANCIAR:</t>
  </si>
  <si>
    <t>TEMPORALIDAD:</t>
  </si>
  <si>
    <t>MENSUALIDAD S/INTERES C/IVA:</t>
  </si>
  <si>
    <t>TASA DE INTERES:</t>
  </si>
  <si>
    <t>MENSUALIDAD C/INTERES C/IVA:</t>
  </si>
  <si>
    <t>NOMBRE:</t>
  </si>
  <si>
    <t>CEL:</t>
  </si>
  <si>
    <t>DOMICILIO:</t>
  </si>
  <si>
    <t>CORREO:</t>
  </si>
  <si>
    <t>LUGAR DE NACIMIENTO:</t>
  </si>
  <si>
    <t>NACIONALIDAD:</t>
  </si>
  <si>
    <t>FECHA DE NACIMIENTO:</t>
  </si>
  <si>
    <t>RFC:</t>
  </si>
  <si>
    <t>NIVEL DE ESTUDIOS:</t>
  </si>
  <si>
    <t>TELEFONO:</t>
  </si>
  <si>
    <t>GIRO:</t>
  </si>
  <si>
    <t>ACTIVIDAD:</t>
  </si>
  <si>
    <t>ACTA CONSTITUTIVA</t>
  </si>
  <si>
    <t>FOLIO:</t>
  </si>
  <si>
    <t>CIUDAD DE REGISTRO:</t>
  </si>
  <si>
    <t>FECHA DE REGISTRO:</t>
  </si>
  <si>
    <t>OBJETO SOCIAL:</t>
  </si>
  <si>
    <t xml:space="preserve">No NOTARIA: </t>
  </si>
  <si>
    <t>FOLIO MERCANTIL:</t>
  </si>
  <si>
    <t>NOMBRE NOTARIO:</t>
  </si>
  <si>
    <t>DOCUMENTACION DEL CLIENTE</t>
  </si>
  <si>
    <t>PERSONA MORAL</t>
  </si>
  <si>
    <t>PERSONA FISICA</t>
  </si>
  <si>
    <t xml:space="preserve">Acta de Nacimiento </t>
  </si>
  <si>
    <t xml:space="preserve">RFC                  </t>
  </si>
  <si>
    <t>Identificacion Oficial</t>
  </si>
  <si>
    <t>Comprobante de Domicilio</t>
  </si>
  <si>
    <t>CURP</t>
  </si>
  <si>
    <t>ACUERDOS GENERALES</t>
  </si>
  <si>
    <t>Vendedor</t>
  </si>
  <si>
    <t>Vo Bo Gerente Comercial</t>
  </si>
  <si>
    <t>Vo Bo Administracion General</t>
  </si>
  <si>
    <t>Vo Bo Direccion</t>
  </si>
  <si>
    <t>Entrega</t>
  </si>
  <si>
    <t>Recibe</t>
  </si>
  <si>
    <t>MES DE ENTREGA</t>
  </si>
  <si>
    <t>FECHA DE ENTREGA</t>
  </si>
  <si>
    <t>PLUSVALÍA</t>
  </si>
  <si>
    <t>No Incluye Mensualidad</t>
  </si>
  <si>
    <t>FECHA DE 1RA MENSUALIDAD</t>
  </si>
  <si>
    <t>VIVES EN CASA:</t>
  </si>
  <si>
    <t>Comprobante de Domicilio.</t>
  </si>
  <si>
    <t>Acta de Nacimiento</t>
  </si>
  <si>
    <t>ESPECIFICAR:</t>
  </si>
  <si>
    <t>LICENCIATURA</t>
  </si>
  <si>
    <t>TELÉFONO:</t>
  </si>
  <si>
    <t>PUESTO:</t>
  </si>
  <si>
    <t>ANTIGÜEDAD:</t>
  </si>
  <si>
    <t>EMPRESA LABORA:</t>
  </si>
  <si>
    <t>Si aplica Bienes:</t>
  </si>
  <si>
    <t>ESTADO CIVIL:</t>
  </si>
  <si>
    <t>PROPIA</t>
  </si>
  <si>
    <t>DATOS COPROPIEDAD</t>
  </si>
  <si>
    <t>LUGAR DE NACIMIENTO (ELLA):</t>
  </si>
  <si>
    <t>NOMBRE DEL CONYUGE:</t>
  </si>
  <si>
    <t>VIUD@</t>
  </si>
  <si>
    <t xml:space="preserve">PATRIMONIO </t>
  </si>
  <si>
    <t>USO DE PROPIEDAD:</t>
  </si>
  <si>
    <t>MORAL</t>
  </si>
  <si>
    <t>PARQUE</t>
  </si>
  <si>
    <t>LOGO</t>
  </si>
  <si>
    <t>PRECIOS</t>
  </si>
  <si>
    <t>CONDOMINIO</t>
  </si>
  <si>
    <t>TIPO CONTRATO</t>
  </si>
  <si>
    <t xml:space="preserve">FISICA </t>
  </si>
  <si>
    <t xml:space="preserve">COPROPIEDAD </t>
  </si>
  <si>
    <t>ESTADO CIVIL</t>
  </si>
  <si>
    <t>CASAD@</t>
  </si>
  <si>
    <t>SOLTER@</t>
  </si>
  <si>
    <t>DIVORCIAD@</t>
  </si>
  <si>
    <t xml:space="preserve">ESTUDIOS </t>
  </si>
  <si>
    <t>DOCTORADO</t>
  </si>
  <si>
    <t>MAESTRIA</t>
  </si>
  <si>
    <t>INGENIERÍA</t>
  </si>
  <si>
    <t>TSU</t>
  </si>
  <si>
    <t>PREPARATORIA</t>
  </si>
  <si>
    <t xml:space="preserve">SECUNDARIA </t>
  </si>
  <si>
    <t xml:space="preserve">PRIMARIA </t>
  </si>
  <si>
    <t>OTRO</t>
  </si>
  <si>
    <t xml:space="preserve">VIVE EN CASA </t>
  </si>
  <si>
    <t xml:space="preserve">RENTA </t>
  </si>
  <si>
    <t xml:space="preserve">FAMILIAR </t>
  </si>
  <si>
    <t xml:space="preserve">USO DE PROPIEDAD </t>
  </si>
  <si>
    <t>INVERSIÓN</t>
  </si>
  <si>
    <t>DATOS PERSONA FISICA</t>
  </si>
  <si>
    <t>DATOS PERSONA MORAL Y REPRESENTANTE LEGAL</t>
  </si>
  <si>
    <t>EMPRESA</t>
  </si>
  <si>
    <t>LUGAR DE NACIMIENTO (ELL@):</t>
  </si>
  <si>
    <t>Empresa:</t>
  </si>
  <si>
    <t>RFC</t>
  </si>
  <si>
    <t>Representante Legal:</t>
  </si>
  <si>
    <t>TIPO DE CONTRATO:</t>
  </si>
  <si>
    <t>LOTE-AE,SLP, PE 10%,10%,10%</t>
  </si>
  <si>
    <t>Acta Constititiva y Inscripción al RPPC</t>
  </si>
  <si>
    <t>RFC Constancia Fiscal</t>
  </si>
  <si>
    <t>Acta de Matrimonio (En caso de aplicar).</t>
  </si>
  <si>
    <t>REPRESENTANTE LEGAL (1)</t>
  </si>
  <si>
    <t>REPRESENTANTE LEGAL (2)</t>
  </si>
  <si>
    <t>NOMBRE (2):</t>
  </si>
  <si>
    <t>NOMBRE (1):</t>
  </si>
  <si>
    <t>NOMBRE (3):</t>
  </si>
  <si>
    <t>ADICIONAL (AMBOS)</t>
  </si>
  <si>
    <t>Simulador y hoja de registro</t>
  </si>
  <si>
    <t>Evidencia de reglamentos (Administración y Construcción)</t>
  </si>
  <si>
    <t>Vouchers y Recibo.</t>
  </si>
  <si>
    <t>Check-list Firmado.</t>
  </si>
  <si>
    <t>Contrato</t>
  </si>
  <si>
    <t>Nota:En caso de ser coopropiedad poner toda documentación de ambos.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</si>
</sst>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8" formatCode="&quot;$&quot;#,##0.00;[Red]\-&quot;$&quot;#,##0.00"/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0.0%"/>
    <numFmt numFmtId="167" formatCode="0\ &quot;:&quot;"/>
    <numFmt numFmtId="168" formatCode="_-&quot;$&quot;* #,##0.00_-;\-&quot;$&quot;* #,##0.00_-;_-&quot;$&quot;* &quot;-&quot;??_-;_-@"/>
    <numFmt numFmtId="169" formatCode="&quot;Enganche mayor a &quot;\ 0.0%"/>
    <numFmt numFmtId="170" formatCode="0.00\ &quot;Años&quot;"/>
    <numFmt numFmtId="171" formatCode="0\ &quot;Meses&quot;"/>
    <numFmt numFmtId="172" formatCode="0\ &quot;a&quot;"/>
    <numFmt numFmtId="173" formatCode="0.0\ &quot;Meses&quot;"/>
    <numFmt numFmtId="174" formatCode="&quot;Mensualidad  &quot;0&quot;  a&quot;"/>
    <numFmt numFmtId="175" formatCode="0\ "/>
    <numFmt numFmtId="176" formatCode="&quot;Mensualidad&quot;\ 0"/>
    <numFmt numFmtId="177" formatCode="0.0\ &quot;Años&quot;"/>
    <numFmt numFmtId="178" formatCode="0\ &quot;Años&quot;"/>
    <numFmt numFmtId="179" formatCode="0.0"/>
    <numFmt numFmtId="180" formatCode="&quot;$&quot;#,##0.000;[Red]\-&quot;$&quot;#,##0.000"/>
    <numFmt numFmtId="181" formatCode="0.00\ &quot;m2&quot;"/>
    <numFmt numFmtId="182" formatCode="&quot;Mes&quot;\ 0"/>
  </numFmts>
  <fonts count="5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</font>
    <font>
      <b/>
      <u/>
      <sz val="18"/>
      <color theme="1"/>
      <name val="Arial"/>
      <family val="2"/>
    </font>
    <font>
      <b/>
      <u/>
      <sz val="14"/>
      <color theme="1"/>
      <name val="Arial"/>
      <family val="2"/>
    </font>
    <font>
      <b/>
      <sz val="12"/>
      <color rgb="FF000000"/>
      <name val="Arial"/>
      <family val="2"/>
    </font>
    <font>
      <b/>
      <sz val="16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sz val="14"/>
      <color theme="0"/>
      <name val="Arial"/>
      <family val="2"/>
    </font>
    <font>
      <u/>
      <sz val="14"/>
      <color theme="1"/>
      <name val="Arial"/>
      <family val="2"/>
    </font>
    <font>
      <b/>
      <sz val="9"/>
      <color theme="1"/>
      <name val="Arial"/>
      <family val="2"/>
    </font>
    <font>
      <u/>
      <sz val="14"/>
      <color theme="1"/>
      <name val="Arial"/>
      <family val="2"/>
    </font>
    <font>
      <b/>
      <sz val="16"/>
      <color theme="0"/>
      <name val="Arial"/>
      <family val="2"/>
    </font>
    <font>
      <b/>
      <sz val="10"/>
      <color theme="1"/>
      <name val="Arial"/>
      <family val="2"/>
    </font>
    <font>
      <sz val="14"/>
      <color theme="0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1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Calibri"/>
      <family val="2"/>
    </font>
    <font>
      <b/>
      <u/>
      <sz val="14"/>
      <color theme="1"/>
      <name val="Arial"/>
      <family val="2"/>
    </font>
    <font>
      <sz val="18"/>
      <color theme="1"/>
      <name val="Arial"/>
      <family val="2"/>
    </font>
    <font>
      <u/>
      <sz val="14"/>
      <color theme="1"/>
      <name val="Arial"/>
      <family val="2"/>
    </font>
    <font>
      <b/>
      <i/>
      <u/>
      <sz val="14"/>
      <color theme="1"/>
      <name val="Arial"/>
      <family val="2"/>
    </font>
    <font>
      <b/>
      <u/>
      <sz val="16"/>
      <color theme="1"/>
      <name val="Arial"/>
      <family val="2"/>
    </font>
    <font>
      <b/>
      <i/>
      <sz val="14"/>
      <color theme="0"/>
      <name val="Arial"/>
      <family val="2"/>
    </font>
    <font>
      <b/>
      <i/>
      <sz val="14"/>
      <color rgb="FF000000"/>
      <name val="Arial"/>
      <family val="2"/>
    </font>
    <font>
      <b/>
      <i/>
      <sz val="14"/>
      <color theme="1"/>
      <name val="Arial"/>
      <family val="2"/>
    </font>
    <font>
      <sz val="14"/>
      <color rgb="FF000000"/>
      <name val="Arial"/>
      <family val="2"/>
    </font>
    <font>
      <b/>
      <sz val="14"/>
      <color rgb="FF000000"/>
      <name val="Arial"/>
      <family val="2"/>
    </font>
    <font>
      <sz val="14"/>
      <color rgb="FFD8D8D8"/>
      <name val="Arial"/>
      <family val="2"/>
    </font>
    <font>
      <b/>
      <u/>
      <sz val="16"/>
      <color theme="1"/>
      <name val="Arial"/>
      <family val="2"/>
    </font>
    <font>
      <b/>
      <u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FFFFFF"/>
      <name val="Arial"/>
      <family val="2"/>
    </font>
    <font>
      <sz val="12"/>
      <color theme="1"/>
      <name val="Arial"/>
      <family val="2"/>
    </font>
    <font>
      <b/>
      <sz val="10"/>
      <color rgb="FF000000"/>
      <name val="Arial"/>
      <family val="2"/>
    </font>
    <font>
      <b/>
      <sz val="12"/>
      <color theme="1"/>
      <name val="Arial"/>
      <family val="2"/>
    </font>
    <font>
      <u/>
      <sz val="12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rgb="FFD8D8D8"/>
        <bgColor rgb="FFD8D8D8"/>
      </patternFill>
    </fill>
    <fill>
      <patternFill patternType="solid">
        <fgColor rgb="FF002060"/>
        <bgColor rgb="FF002060"/>
      </patternFill>
    </fill>
    <fill>
      <patternFill patternType="solid">
        <fgColor rgb="FFFF0000"/>
        <bgColor rgb="FFFF0000"/>
      </patternFill>
    </fill>
    <fill>
      <patternFill patternType="solid">
        <fgColor rgb="FFFFD965"/>
        <bgColor rgb="FFFFD965"/>
      </patternFill>
    </fill>
    <fill>
      <patternFill patternType="solid">
        <fgColor rgb="FFFFC000"/>
        <bgColor rgb="FFFFC000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333F4F"/>
        <bgColor rgb="FF333F4F"/>
      </patternFill>
    </fill>
    <fill>
      <patternFill patternType="solid">
        <fgColor theme="9" tint="0.59999389629810485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C5E0B3"/>
      </patternFill>
    </fill>
  </fills>
  <borders count="5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1" fillId="0" borderId="24"/>
    <xf numFmtId="9" fontId="1" fillId="0" borderId="24" applyFont="0" applyFill="0" applyBorder="0" applyAlignment="0" applyProtection="0"/>
    <xf numFmtId="0" fontId="50" fillId="0" borderId="0" applyNumberFormat="0" applyFill="0" applyBorder="0" applyAlignment="0" applyProtection="0"/>
    <xf numFmtId="0" fontId="52" fillId="0" borderId="24"/>
    <xf numFmtId="0" fontId="53" fillId="0" borderId="24" applyNumberFormat="0" applyFill="0" applyBorder="0" applyAlignment="0" applyProtection="0"/>
    <xf numFmtId="44" fontId="1" fillId="0" borderId="24" applyFont="0" applyFill="0" applyBorder="0" applyAlignment="0" applyProtection="0"/>
  </cellStyleXfs>
  <cellXfs count="285">
    <xf numFmtId="0" fontId="0" fillId="0" borderId="0" xfId="0" applyFont="1" applyAlignment="1"/>
    <xf numFmtId="0" fontId="2" fillId="0" borderId="0" xfId="0" applyFont="1"/>
    <xf numFmtId="0" fontId="2" fillId="2" borderId="1" xfId="0" applyFont="1" applyFill="1" applyBorder="1"/>
    <xf numFmtId="8" fontId="2" fillId="0" borderId="0" xfId="0" applyNumberFormat="1" applyFont="1"/>
    <xf numFmtId="8" fontId="2" fillId="2" borderId="1" xfId="0" applyNumberFormat="1" applyFont="1" applyFill="1" applyBorder="1"/>
    <xf numFmtId="0" fontId="6" fillId="2" borderId="1" xfId="0" applyFont="1" applyFill="1" applyBorder="1" applyAlignment="1">
      <alignment horizontal="right"/>
    </xf>
    <xf numFmtId="165" fontId="3" fillId="2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/>
    </xf>
    <xf numFmtId="166" fontId="3" fillId="4" borderId="7" xfId="0" applyNumberFormat="1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right" vertical="center" wrapText="1"/>
    </xf>
    <xf numFmtId="0" fontId="12" fillId="2" borderId="1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8" fontId="13" fillId="2" borderId="1" xfId="0" applyNumberFormat="1" applyFont="1" applyFill="1" applyBorder="1" applyAlignment="1">
      <alignment horizontal="center"/>
    </xf>
    <xf numFmtId="167" fontId="3" fillId="2" borderId="13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right" vertical="center"/>
    </xf>
    <xf numFmtId="168" fontId="13" fillId="6" borderId="1" xfId="0" applyNumberFormat="1" applyFont="1" applyFill="1" applyBorder="1" applyAlignment="1">
      <alignment horizontal="center" vertical="center"/>
    </xf>
    <xf numFmtId="168" fontId="3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168" fontId="3" fillId="3" borderId="1" xfId="0" applyNumberFormat="1" applyFont="1" applyFill="1" applyBorder="1" applyAlignment="1">
      <alignment horizontal="center"/>
    </xf>
    <xf numFmtId="168" fontId="2" fillId="2" borderId="1" xfId="0" applyNumberFormat="1" applyFont="1" applyFill="1" applyBorder="1"/>
    <xf numFmtId="168" fontId="13" fillId="6" borderId="1" xfId="0" applyNumberFormat="1" applyFont="1" applyFill="1" applyBorder="1" applyAlignment="1">
      <alignment horizontal="center"/>
    </xf>
    <xf numFmtId="165" fontId="3" fillId="4" borderId="1" xfId="0" applyNumberFormat="1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right" vertical="center"/>
    </xf>
    <xf numFmtId="165" fontId="3" fillId="8" borderId="16" xfId="0" applyNumberFormat="1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right"/>
    </xf>
    <xf numFmtId="166" fontId="17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 wrapText="1"/>
    </xf>
    <xf numFmtId="168" fontId="3" fillId="3" borderId="1" xfId="0" applyNumberFormat="1" applyFont="1" applyFill="1" applyBorder="1" applyAlignment="1">
      <alignment horizontal="center" vertical="center"/>
    </xf>
    <xf numFmtId="168" fontId="3" fillId="3" borderId="1" xfId="0" applyNumberFormat="1" applyFont="1" applyFill="1" applyBorder="1" applyAlignment="1">
      <alignment horizontal="right" vertical="center"/>
    </xf>
    <xf numFmtId="9" fontId="8" fillId="4" borderId="1" xfId="0" applyNumberFormat="1" applyFont="1" applyFill="1" applyBorder="1" applyAlignment="1">
      <alignment horizontal="center" vertical="center"/>
    </xf>
    <xf numFmtId="8" fontId="19" fillId="2" borderId="1" xfId="0" applyNumberFormat="1" applyFont="1" applyFill="1" applyBorder="1" applyAlignment="1">
      <alignment horizontal="center"/>
    </xf>
    <xf numFmtId="168" fontId="17" fillId="6" borderId="1" xfId="0" applyNumberFormat="1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left" vertical="center"/>
    </xf>
    <xf numFmtId="165" fontId="3" fillId="5" borderId="1" xfId="0" applyNumberFormat="1" applyFont="1" applyFill="1" applyBorder="1" applyAlignment="1">
      <alignment horizontal="center"/>
    </xf>
    <xf numFmtId="170" fontId="3" fillId="5" borderId="1" xfId="0" applyNumberFormat="1" applyFont="1" applyFill="1" applyBorder="1" applyAlignment="1">
      <alignment horizontal="center" vertical="center"/>
    </xf>
    <xf numFmtId="171" fontId="2" fillId="2" borderId="1" xfId="0" applyNumberFormat="1" applyFont="1" applyFill="1" applyBorder="1" applyAlignment="1">
      <alignment horizontal="left" vertical="center"/>
    </xf>
    <xf numFmtId="172" fontId="2" fillId="2" borderId="17" xfId="0" applyNumberFormat="1" applyFont="1" applyFill="1" applyBorder="1" applyAlignment="1">
      <alignment horizontal="right" vertical="center"/>
    </xf>
    <xf numFmtId="173" fontId="2" fillId="2" borderId="18" xfId="0" applyNumberFormat="1" applyFont="1" applyFill="1" applyBorder="1" applyAlignment="1">
      <alignment horizontal="left" vertical="center"/>
    </xf>
    <xf numFmtId="173" fontId="2" fillId="2" borderId="18" xfId="0" applyNumberFormat="1" applyFont="1" applyFill="1" applyBorder="1" applyAlignment="1">
      <alignment horizontal="center" vertical="center"/>
    </xf>
    <xf numFmtId="9" fontId="3" fillId="5" borderId="19" xfId="0" applyNumberFormat="1" applyFont="1" applyFill="1" applyBorder="1" applyAlignment="1">
      <alignment horizontal="center" vertical="center"/>
    </xf>
    <xf numFmtId="172" fontId="2" fillId="2" borderId="20" xfId="0" applyNumberFormat="1" applyFont="1" applyFill="1" applyBorder="1" applyAlignment="1">
      <alignment horizontal="right" vertical="center"/>
    </xf>
    <xf numFmtId="173" fontId="2" fillId="2" borderId="21" xfId="0" applyNumberFormat="1" applyFont="1" applyFill="1" applyBorder="1" applyAlignment="1">
      <alignment horizontal="left" vertical="center"/>
    </xf>
    <xf numFmtId="173" fontId="2" fillId="2" borderId="21" xfId="0" applyNumberFormat="1" applyFont="1" applyFill="1" applyBorder="1" applyAlignment="1">
      <alignment horizontal="center" vertical="center"/>
    </xf>
    <xf numFmtId="166" fontId="3" fillId="5" borderId="22" xfId="0" applyNumberFormat="1" applyFont="1" applyFill="1" applyBorder="1" applyAlignment="1">
      <alignment horizontal="center" vertical="center"/>
    </xf>
    <xf numFmtId="0" fontId="21" fillId="5" borderId="7" xfId="0" applyFont="1" applyFill="1" applyBorder="1" applyAlignment="1">
      <alignment horizontal="center" vertical="center"/>
    </xf>
    <xf numFmtId="172" fontId="2" fillId="2" borderId="1" xfId="0" applyNumberFormat="1" applyFont="1" applyFill="1" applyBorder="1" applyAlignment="1">
      <alignment horizontal="right" vertical="center"/>
    </xf>
    <xf numFmtId="173" fontId="2" fillId="2" borderId="1" xfId="0" applyNumberFormat="1" applyFont="1" applyFill="1" applyBorder="1" applyAlignment="1">
      <alignment horizontal="left" vertical="center"/>
    </xf>
    <xf numFmtId="173" fontId="2" fillId="2" borderId="1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 vertical="top"/>
    </xf>
    <xf numFmtId="174" fontId="2" fillId="2" borderId="1" xfId="0" applyNumberFormat="1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left" vertical="center"/>
    </xf>
    <xf numFmtId="175" fontId="2" fillId="2" borderId="1" xfId="0" applyNumberFormat="1" applyFont="1" applyFill="1" applyBorder="1" applyAlignment="1">
      <alignment horizontal="left" vertical="center"/>
    </xf>
    <xf numFmtId="9" fontId="2" fillId="0" borderId="0" xfId="0" applyNumberFormat="1" applyFont="1"/>
    <xf numFmtId="0" fontId="22" fillId="9" borderId="7" xfId="0" applyFont="1" applyFill="1" applyBorder="1" applyAlignment="1">
      <alignment horizontal="left" vertical="center"/>
    </xf>
    <xf numFmtId="176" fontId="23" fillId="2" borderId="1" xfId="0" applyNumberFormat="1" applyFont="1" applyFill="1" applyBorder="1" applyAlignment="1">
      <alignment horizontal="center" vertical="center"/>
    </xf>
    <xf numFmtId="0" fontId="24" fillId="0" borderId="0" xfId="0" applyFont="1"/>
    <xf numFmtId="0" fontId="25" fillId="9" borderId="7" xfId="0" applyFont="1" applyFill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right" vertical="center"/>
    </xf>
    <xf numFmtId="176" fontId="27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/>
    <xf numFmtId="0" fontId="28" fillId="2" borderId="1" xfId="0" applyFont="1" applyFill="1" applyBorder="1"/>
    <xf numFmtId="8" fontId="19" fillId="2" borderId="1" xfId="0" applyNumberFormat="1" applyFont="1" applyFill="1" applyBorder="1"/>
    <xf numFmtId="0" fontId="30" fillId="2" borderId="1" xfId="0" applyFont="1" applyFill="1" applyBorder="1"/>
    <xf numFmtId="0" fontId="31" fillId="2" borderId="1" xfId="0" applyFont="1" applyFill="1" applyBorder="1"/>
    <xf numFmtId="0" fontId="32" fillId="2" borderId="1" xfId="0" applyFont="1" applyFill="1" applyBorder="1"/>
    <xf numFmtId="0" fontId="19" fillId="2" borderId="1" xfId="0" applyFont="1" applyFill="1" applyBorder="1"/>
    <xf numFmtId="0" fontId="33" fillId="2" borderId="1" xfId="0" applyFont="1" applyFill="1" applyBorder="1"/>
    <xf numFmtId="0" fontId="34" fillId="2" borderId="1" xfId="0" applyFont="1" applyFill="1" applyBorder="1" applyAlignment="1">
      <alignment horizontal="right"/>
    </xf>
    <xf numFmtId="165" fontId="34" fillId="2" borderId="1" xfId="0" applyNumberFormat="1" applyFont="1" applyFill="1" applyBorder="1" applyAlignment="1">
      <alignment horizontal="center"/>
    </xf>
    <xf numFmtId="165" fontId="34" fillId="2" borderId="1" xfId="0" applyNumberFormat="1" applyFont="1" applyFill="1" applyBorder="1" applyAlignment="1">
      <alignment horizontal="center" vertical="center"/>
    </xf>
    <xf numFmtId="177" fontId="34" fillId="2" borderId="1" xfId="0" applyNumberFormat="1" applyFont="1" applyFill="1" applyBorder="1" applyAlignment="1">
      <alignment horizontal="center"/>
    </xf>
    <xf numFmtId="0" fontId="34" fillId="2" borderId="1" xfId="0" applyFont="1" applyFill="1" applyBorder="1" applyAlignment="1">
      <alignment horizontal="center"/>
    </xf>
    <xf numFmtId="178" fontId="34" fillId="2" borderId="1" xfId="0" applyNumberFormat="1" applyFont="1" applyFill="1" applyBorder="1" applyAlignment="1">
      <alignment horizontal="center"/>
    </xf>
    <xf numFmtId="173" fontId="33" fillId="2" borderId="1" xfId="0" applyNumberFormat="1" applyFont="1" applyFill="1" applyBorder="1" applyAlignment="1">
      <alignment horizontal="center"/>
    </xf>
    <xf numFmtId="10" fontId="33" fillId="2" borderId="1" xfId="0" applyNumberFormat="1" applyFont="1" applyFill="1" applyBorder="1" applyAlignment="1">
      <alignment horizontal="center"/>
    </xf>
    <xf numFmtId="8" fontId="34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13" fillId="6" borderId="23" xfId="0" applyFont="1" applyFill="1" applyBorder="1" applyAlignment="1">
      <alignment horizontal="center" vertical="center" wrapText="1"/>
    </xf>
    <xf numFmtId="8" fontId="13" fillId="6" borderId="23" xfId="0" applyNumberFormat="1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/>
    </xf>
    <xf numFmtId="168" fontId="2" fillId="2" borderId="23" xfId="0" applyNumberFormat="1" applyFont="1" applyFill="1" applyBorder="1" applyAlignment="1">
      <alignment horizontal="center"/>
    </xf>
    <xf numFmtId="15" fontId="2" fillId="2" borderId="23" xfId="0" applyNumberFormat="1" applyFont="1" applyFill="1" applyBorder="1" applyAlignment="1">
      <alignment horizontal="center"/>
    </xf>
    <xf numFmtId="0" fontId="35" fillId="5" borderId="23" xfId="0" applyFont="1" applyFill="1" applyBorder="1" applyAlignment="1">
      <alignment horizontal="center"/>
    </xf>
    <xf numFmtId="15" fontId="35" fillId="5" borderId="23" xfId="0" applyNumberFormat="1" applyFont="1" applyFill="1" applyBorder="1" applyAlignment="1">
      <alignment horizontal="center"/>
    </xf>
    <xf numFmtId="168" fontId="35" fillId="5" borderId="23" xfId="0" applyNumberFormat="1" applyFont="1" applyFill="1" applyBorder="1" applyAlignment="1">
      <alignment horizontal="center"/>
    </xf>
    <xf numFmtId="168" fontId="2" fillId="5" borderId="23" xfId="0" applyNumberFormat="1" applyFont="1" applyFill="1" applyBorder="1" applyAlignment="1">
      <alignment horizontal="center"/>
    </xf>
    <xf numFmtId="8" fontId="2" fillId="5" borderId="23" xfId="0" applyNumberFormat="1" applyFont="1" applyFill="1" applyBorder="1" applyAlignment="1">
      <alignment horizontal="center"/>
    </xf>
    <xf numFmtId="168" fontId="2" fillId="2" borderId="23" xfId="0" applyNumberFormat="1" applyFont="1" applyFill="1" applyBorder="1" applyAlignment="1">
      <alignment horizontal="center"/>
    </xf>
    <xf numFmtId="0" fontId="33" fillId="0" borderId="0" xfId="0" applyFont="1"/>
    <xf numFmtId="0" fontId="33" fillId="0" borderId="23" xfId="0" applyFont="1" applyBorder="1"/>
    <xf numFmtId="0" fontId="33" fillId="2" borderId="1" xfId="0" applyFont="1" applyFill="1" applyBorder="1" applyAlignment="1">
      <alignment horizontal="center" vertical="top"/>
    </xf>
    <xf numFmtId="0" fontId="34" fillId="2" borderId="23" xfId="0" applyFont="1" applyFill="1" applyBorder="1" applyAlignment="1">
      <alignment horizontal="right"/>
    </xf>
    <xf numFmtId="165" fontId="34" fillId="2" borderId="23" xfId="0" applyNumberFormat="1" applyFont="1" applyFill="1" applyBorder="1" applyAlignment="1">
      <alignment horizontal="center" vertical="center"/>
    </xf>
    <xf numFmtId="165" fontId="34" fillId="2" borderId="23" xfId="0" applyNumberFormat="1" applyFont="1" applyFill="1" applyBorder="1" applyAlignment="1">
      <alignment horizontal="center"/>
    </xf>
    <xf numFmtId="179" fontId="34" fillId="2" borderId="23" xfId="0" applyNumberFormat="1" applyFont="1" applyFill="1" applyBorder="1" applyAlignment="1">
      <alignment horizontal="center"/>
    </xf>
    <xf numFmtId="178" fontId="34" fillId="2" borderId="23" xfId="0" applyNumberFormat="1" applyFont="1" applyFill="1" applyBorder="1" applyAlignment="1">
      <alignment horizontal="center"/>
    </xf>
    <xf numFmtId="173" fontId="33" fillId="2" borderId="23" xfId="0" applyNumberFormat="1" applyFont="1" applyFill="1" applyBorder="1" applyAlignment="1">
      <alignment horizontal="center"/>
    </xf>
    <xf numFmtId="10" fontId="33" fillId="2" borderId="23" xfId="0" applyNumberFormat="1" applyFont="1" applyFill="1" applyBorder="1" applyAlignment="1">
      <alignment horizontal="center"/>
    </xf>
    <xf numFmtId="8" fontId="34" fillId="2" borderId="23" xfId="0" applyNumberFormat="1" applyFont="1" applyFill="1" applyBorder="1" applyAlignment="1">
      <alignment horizontal="center"/>
    </xf>
    <xf numFmtId="0" fontId="33" fillId="2" borderId="23" xfId="0" applyFont="1" applyFill="1" applyBorder="1"/>
    <xf numFmtId="8" fontId="33" fillId="0" borderId="23" xfId="0" applyNumberFormat="1" applyFont="1" applyBorder="1"/>
    <xf numFmtId="0" fontId="36" fillId="2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left"/>
    </xf>
    <xf numFmtId="0" fontId="13" fillId="6" borderId="23" xfId="0" applyFont="1" applyFill="1" applyBorder="1" applyAlignment="1">
      <alignment horizontal="center" vertical="center"/>
    </xf>
    <xf numFmtId="8" fontId="13" fillId="6" borderId="23" xfId="0" applyNumberFormat="1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/>
    </xf>
    <xf numFmtId="15" fontId="19" fillId="2" borderId="23" xfId="0" applyNumberFormat="1" applyFont="1" applyFill="1" applyBorder="1" applyAlignment="1">
      <alignment horizontal="center"/>
    </xf>
    <xf numFmtId="180" fontId="3" fillId="10" borderId="23" xfId="0" applyNumberFormat="1" applyFont="1" applyFill="1" applyBorder="1" applyAlignment="1">
      <alignment horizontal="right" vertical="center"/>
    </xf>
    <xf numFmtId="168" fontId="3" fillId="10" borderId="23" xfId="0" applyNumberFormat="1" applyFont="1" applyFill="1" applyBorder="1" applyAlignment="1">
      <alignment horizontal="center"/>
    </xf>
    <xf numFmtId="8" fontId="2" fillId="2" borderId="23" xfId="0" applyNumberFormat="1" applyFont="1" applyFill="1" applyBorder="1" applyAlignment="1">
      <alignment horizontal="center"/>
    </xf>
    <xf numFmtId="8" fontId="33" fillId="11" borderId="23" xfId="0" applyNumberFormat="1" applyFont="1" applyFill="1" applyBorder="1" applyAlignment="1">
      <alignment horizontal="center"/>
    </xf>
    <xf numFmtId="0" fontId="2" fillId="5" borderId="23" xfId="0" applyFont="1" applyFill="1" applyBorder="1" applyAlignment="1">
      <alignment horizontal="center"/>
    </xf>
    <xf numFmtId="180" fontId="2" fillId="5" borderId="23" xfId="0" applyNumberFormat="1" applyFont="1" applyFill="1" applyBorder="1" applyAlignment="1">
      <alignment horizontal="center"/>
    </xf>
    <xf numFmtId="0" fontId="3" fillId="3" borderId="12" xfId="0" applyFont="1" applyFill="1" applyBorder="1" applyAlignment="1" applyProtection="1">
      <alignment horizontal="center" vertical="center"/>
      <protection locked="0" hidden="1"/>
    </xf>
    <xf numFmtId="0" fontId="3" fillId="3" borderId="14" xfId="0" applyFont="1" applyFill="1" applyBorder="1" applyAlignment="1" applyProtection="1">
      <alignment horizontal="center"/>
      <protection locked="0" hidden="1"/>
    </xf>
    <xf numFmtId="165" fontId="3" fillId="3" borderId="14" xfId="0" applyNumberFormat="1" applyFont="1" applyFill="1" applyBorder="1" applyAlignment="1" applyProtection="1">
      <alignment horizontal="center"/>
      <protection locked="0" hidden="1"/>
    </xf>
    <xf numFmtId="0" fontId="2" fillId="3" borderId="1" xfId="0" applyFont="1" applyFill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3" fillId="3" borderId="1" xfId="0" applyFont="1" applyFill="1" applyBorder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0" fontId="8" fillId="3" borderId="1" xfId="0" applyNumberFormat="1" applyFont="1" applyFill="1" applyBorder="1" applyAlignment="1" applyProtection="1">
      <alignment horizontal="center" vertical="center"/>
      <protection locked="0"/>
    </xf>
    <xf numFmtId="9" fontId="8" fillId="3" borderId="1" xfId="0" applyNumberFormat="1" applyFont="1" applyFill="1" applyBorder="1" applyAlignment="1" applyProtection="1">
      <alignment horizontal="center" vertical="center"/>
      <protection locked="0"/>
    </xf>
    <xf numFmtId="169" fontId="15" fillId="7" borderId="1" xfId="0" applyNumberFormat="1" applyFont="1" applyFill="1" applyBorder="1" applyProtection="1">
      <protection locked="0"/>
    </xf>
    <xf numFmtId="8" fontId="18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24" xfId="0" applyFont="1" applyBorder="1"/>
    <xf numFmtId="0" fontId="0" fillId="0" borderId="0" xfId="0" applyFont="1" applyAlignment="1"/>
    <xf numFmtId="0" fontId="44" fillId="15" borderId="0" xfId="0" applyFont="1" applyFill="1" applyAlignment="1">
      <alignment horizontal="center" vertical="center"/>
    </xf>
    <xf numFmtId="0" fontId="44" fillId="15" borderId="0" xfId="0" applyFont="1" applyFill="1" applyAlignment="1">
      <alignment horizontal="center"/>
    </xf>
    <xf numFmtId="0" fontId="44" fillId="15" borderId="0" xfId="0" applyFont="1" applyFill="1" applyAlignment="1">
      <alignment horizontal="left"/>
    </xf>
    <xf numFmtId="0" fontId="0" fillId="15" borderId="0" xfId="0" applyFill="1"/>
    <xf numFmtId="0" fontId="0" fillId="15" borderId="0" xfId="0" applyFill="1" applyAlignment="1">
      <alignment horizontal="left"/>
    </xf>
    <xf numFmtId="165" fontId="0" fillId="15" borderId="0" xfId="0" applyNumberFormat="1" applyFill="1" applyAlignment="1">
      <alignment horizontal="left" vertical="center"/>
    </xf>
    <xf numFmtId="0" fontId="50" fillId="15" borderId="0" xfId="3" applyFill="1"/>
    <xf numFmtId="0" fontId="2" fillId="15" borderId="0" xfId="0" applyFont="1" applyFill="1"/>
    <xf numFmtId="0" fontId="2" fillId="2" borderId="24" xfId="0" applyFont="1" applyFill="1" applyBorder="1"/>
    <xf numFmtId="0" fontId="2" fillId="2" borderId="24" xfId="0" applyFont="1" applyFill="1" applyBorder="1" applyAlignment="1">
      <alignment vertical="center" wrapText="1"/>
    </xf>
    <xf numFmtId="0" fontId="2" fillId="2" borderId="24" xfId="0" applyFont="1" applyFill="1" applyBorder="1" applyAlignment="1">
      <alignment horizontal="center" vertical="top"/>
    </xf>
    <xf numFmtId="0" fontId="33" fillId="2" borderId="24" xfId="0" applyFont="1" applyFill="1" applyBorder="1"/>
    <xf numFmtId="14" fontId="3" fillId="3" borderId="23" xfId="0" applyNumberFormat="1" applyFont="1" applyFill="1" applyBorder="1" applyAlignment="1" applyProtection="1">
      <alignment horizontal="center"/>
      <protection locked="0"/>
    </xf>
    <xf numFmtId="0" fontId="38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40" fillId="0" borderId="0" xfId="0" applyFont="1" applyProtection="1">
      <protection locked="0"/>
    </xf>
    <xf numFmtId="0" fontId="40" fillId="0" borderId="0" xfId="0" applyFont="1" applyAlignment="1" applyProtection="1">
      <alignment horizontal="right"/>
      <protection locked="0"/>
    </xf>
    <xf numFmtId="0" fontId="4" fillId="0" borderId="24" xfId="0" applyFont="1" applyBorder="1" applyAlignment="1" applyProtection="1">
      <protection locked="0"/>
    </xf>
    <xf numFmtId="0" fontId="3" fillId="4" borderId="38" xfId="0" applyFont="1" applyFill="1" applyBorder="1" applyAlignment="1" applyProtection="1">
      <alignment horizontal="center"/>
      <protection locked="0"/>
    </xf>
    <xf numFmtId="0" fontId="40" fillId="0" borderId="24" xfId="0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right"/>
      <protection locked="0"/>
    </xf>
    <xf numFmtId="182" fontId="3" fillId="4" borderId="35" xfId="0" applyNumberFormat="1" applyFont="1" applyFill="1" applyBorder="1" applyAlignment="1" applyProtection="1">
      <alignment horizontal="center"/>
      <protection locked="0"/>
    </xf>
    <xf numFmtId="0" fontId="3" fillId="4" borderId="36" xfId="0" applyFont="1" applyFill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/>
      <protection locked="0"/>
    </xf>
    <xf numFmtId="15" fontId="3" fillId="13" borderId="36" xfId="0" applyNumberFormat="1" applyFont="1" applyFill="1" applyBorder="1" applyAlignment="1" applyProtection="1">
      <alignment horizontal="center"/>
      <protection locked="0"/>
    </xf>
    <xf numFmtId="181" fontId="42" fillId="14" borderId="34" xfId="0" applyNumberFormat="1" applyFont="1" applyFill="1" applyBorder="1" applyAlignment="1" applyProtection="1">
      <alignment horizontal="center"/>
      <protection locked="0"/>
    </xf>
    <xf numFmtId="15" fontId="3" fillId="13" borderId="37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9" fontId="7" fillId="0" borderId="0" xfId="0" applyNumberFormat="1" applyFont="1" applyProtection="1">
      <protection locked="0"/>
    </xf>
    <xf numFmtId="0" fontId="41" fillId="0" borderId="0" xfId="0" applyFont="1" applyAlignment="1" applyProtection="1">
      <alignment horizontal="center"/>
      <protection locked="0"/>
    </xf>
    <xf numFmtId="168" fontId="42" fillId="4" borderId="17" xfId="0" applyNumberFormat="1" applyFont="1" applyFill="1" applyBorder="1" applyProtection="1">
      <protection locked="0"/>
    </xf>
    <xf numFmtId="168" fontId="42" fillId="4" borderId="19" xfId="0" applyNumberFormat="1" applyFont="1" applyFill="1" applyBorder="1" applyProtection="1">
      <protection locked="0"/>
    </xf>
    <xf numFmtId="0" fontId="38" fillId="0" borderId="0" xfId="0" applyFont="1" applyAlignment="1" applyProtection="1">
      <alignment horizontal="right"/>
      <protection locked="0"/>
    </xf>
    <xf numFmtId="168" fontId="42" fillId="4" borderId="28" xfId="0" applyNumberFormat="1" applyFont="1" applyFill="1" applyBorder="1" applyProtection="1">
      <protection locked="0"/>
    </xf>
    <xf numFmtId="168" fontId="42" fillId="4" borderId="29" xfId="0" applyNumberFormat="1" applyFont="1" applyFill="1" applyBorder="1" applyProtection="1">
      <protection locked="0"/>
    </xf>
    <xf numFmtId="176" fontId="40" fillId="2" borderId="1" xfId="0" applyNumberFormat="1" applyFont="1" applyFill="1" applyBorder="1" applyAlignment="1" applyProtection="1">
      <alignment horizontal="right" vertical="center"/>
      <protection locked="0"/>
    </xf>
    <xf numFmtId="168" fontId="42" fillId="4" borderId="20" xfId="0" applyNumberFormat="1" applyFont="1" applyFill="1" applyBorder="1" applyProtection="1">
      <protection locked="0"/>
    </xf>
    <xf numFmtId="168" fontId="42" fillId="4" borderId="22" xfId="0" applyNumberFormat="1" applyFont="1" applyFill="1" applyBorder="1" applyProtection="1">
      <protection locked="0"/>
    </xf>
    <xf numFmtId="177" fontId="42" fillId="0" borderId="27" xfId="0" applyNumberFormat="1" applyFont="1" applyBorder="1" applyAlignment="1" applyProtection="1">
      <alignment horizontal="center"/>
      <protection locked="0"/>
    </xf>
    <xf numFmtId="173" fontId="40" fillId="0" borderId="30" xfId="0" applyNumberFormat="1" applyFont="1" applyBorder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left"/>
      <protection locked="0"/>
    </xf>
    <xf numFmtId="9" fontId="42" fillId="0" borderId="31" xfId="0" applyNumberFormat="1" applyFont="1" applyBorder="1" applyAlignment="1" applyProtection="1">
      <alignment horizontal="center"/>
      <protection locked="0"/>
    </xf>
    <xf numFmtId="173" fontId="40" fillId="0" borderId="32" xfId="0" applyNumberFormat="1" applyFont="1" applyBorder="1" applyAlignment="1" applyProtection="1">
      <alignment horizontal="center" vertical="center"/>
      <protection locked="0"/>
    </xf>
    <xf numFmtId="9" fontId="42" fillId="0" borderId="24" xfId="0" applyNumberFormat="1" applyFont="1" applyBorder="1" applyAlignment="1" applyProtection="1">
      <alignment horizontal="center"/>
      <protection locked="0"/>
    </xf>
    <xf numFmtId="173" fontId="40" fillId="0" borderId="24" xfId="0" applyNumberFormat="1" applyFont="1" applyBorder="1" applyAlignment="1" applyProtection="1">
      <alignment horizontal="center" vertical="center"/>
      <protection locked="0"/>
    </xf>
    <xf numFmtId="9" fontId="3" fillId="4" borderId="34" xfId="0" applyNumberFormat="1" applyFont="1" applyFill="1" applyBorder="1" applyAlignment="1" applyProtection="1">
      <alignment horizontal="center" vertical="center"/>
      <protection locked="0"/>
    </xf>
    <xf numFmtId="9" fontId="42" fillId="0" borderId="0" xfId="0" applyNumberFormat="1" applyFont="1" applyAlignment="1" applyProtection="1">
      <alignment horizontal="center"/>
      <protection locked="0"/>
    </xf>
    <xf numFmtId="0" fontId="38" fillId="0" borderId="23" xfId="0" applyFont="1" applyBorder="1" applyAlignment="1" applyProtection="1">
      <alignment wrapText="1"/>
      <protection locked="0"/>
    </xf>
    <xf numFmtId="0" fontId="38" fillId="0" borderId="23" xfId="0" applyFont="1" applyBorder="1" applyAlignment="1" applyProtection="1">
      <alignment horizontal="right"/>
      <protection locked="0"/>
    </xf>
    <xf numFmtId="0" fontId="38" fillId="0" borderId="23" xfId="0" applyFont="1" applyBorder="1" applyProtection="1">
      <protection locked="0"/>
    </xf>
    <xf numFmtId="0" fontId="46" fillId="15" borderId="23" xfId="0" applyFont="1" applyFill="1" applyBorder="1" applyAlignment="1" applyProtection="1">
      <alignment vertical="center"/>
      <protection locked="0"/>
    </xf>
    <xf numFmtId="0" fontId="4" fillId="0" borderId="23" xfId="0" applyFont="1" applyBorder="1" applyAlignment="1" applyProtection="1">
      <protection locked="0"/>
    </xf>
    <xf numFmtId="0" fontId="44" fillId="0" borderId="23" xfId="0" applyFont="1" applyBorder="1" applyAlignment="1" applyProtection="1">
      <alignment vertical="center"/>
      <protection locked="0"/>
    </xf>
    <xf numFmtId="0" fontId="45" fillId="15" borderId="23" xfId="0" applyFont="1" applyFill="1" applyBorder="1" applyAlignment="1" applyProtection="1">
      <alignment horizontal="left" vertical="center" wrapText="1"/>
      <protection locked="0"/>
    </xf>
    <xf numFmtId="0" fontId="45" fillId="15" borderId="23" xfId="0" applyFont="1" applyFill="1" applyBorder="1" applyAlignment="1" applyProtection="1">
      <alignment vertical="center"/>
      <protection locked="0"/>
    </xf>
    <xf numFmtId="0" fontId="47" fillId="15" borderId="40" xfId="0" applyFont="1" applyFill="1" applyBorder="1" applyAlignment="1" applyProtection="1">
      <alignment vertical="center"/>
      <protection locked="0"/>
    </xf>
    <xf numFmtId="0" fontId="47" fillId="15" borderId="39" xfId="0" applyFont="1" applyFill="1" applyBorder="1" applyAlignment="1" applyProtection="1">
      <alignment vertical="center"/>
      <protection locked="0"/>
    </xf>
    <xf numFmtId="0" fontId="7" fillId="0" borderId="23" xfId="0" applyFont="1" applyBorder="1" applyAlignment="1" applyProtection="1">
      <alignment wrapText="1"/>
      <protection locked="0"/>
    </xf>
    <xf numFmtId="0" fontId="38" fillId="0" borderId="24" xfId="0" applyFont="1" applyBorder="1" applyAlignment="1" applyProtection="1">
      <protection locked="0"/>
    </xf>
    <xf numFmtId="0" fontId="38" fillId="0" borderId="27" xfId="0" applyFont="1" applyBorder="1" applyAlignment="1" applyProtection="1">
      <protection locked="0"/>
    </xf>
    <xf numFmtId="0" fontId="4" fillId="0" borderId="27" xfId="0" applyFont="1" applyBorder="1" applyAlignment="1" applyProtection="1">
      <protection locked="0"/>
    </xf>
    <xf numFmtId="0" fontId="38" fillId="0" borderId="31" xfId="0" applyFont="1" applyBorder="1" applyAlignment="1" applyProtection="1">
      <protection locked="0"/>
    </xf>
    <xf numFmtId="0" fontId="4" fillId="0" borderId="31" xfId="0" applyFont="1" applyBorder="1" applyAlignment="1" applyProtection="1">
      <protection locked="0"/>
    </xf>
    <xf numFmtId="0" fontId="4" fillId="0" borderId="24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38" fillId="0" borderId="24" xfId="0" applyFont="1" applyBorder="1" applyAlignment="1" applyProtection="1">
      <alignment horizontal="center"/>
      <protection locked="0"/>
    </xf>
    <xf numFmtId="0" fontId="38" fillId="0" borderId="27" xfId="0" applyFont="1" applyBorder="1" applyAlignment="1" applyProtection="1">
      <alignment horizontal="center"/>
      <protection locked="0"/>
    </xf>
    <xf numFmtId="0" fontId="38" fillId="0" borderId="31" xfId="0" applyFont="1" applyBorder="1" applyAlignment="1" applyProtection="1">
      <alignment horizontal="center"/>
      <protection locked="0"/>
    </xf>
    <xf numFmtId="0" fontId="38" fillId="0" borderId="24" xfId="0" applyFont="1" applyBorder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7" fillId="0" borderId="24" xfId="0" applyFont="1" applyBorder="1" applyAlignment="1" applyProtection="1">
      <protection locked="0"/>
    </xf>
    <xf numFmtId="0" fontId="51" fillId="0" borderId="24" xfId="0" applyFont="1" applyBorder="1" applyAlignment="1" applyProtection="1">
      <protection locked="0"/>
    </xf>
    <xf numFmtId="0" fontId="42" fillId="0" borderId="0" xfId="0" applyFont="1" applyAlignment="1" applyProtection="1">
      <alignment horizontal="left"/>
      <protection locked="0"/>
    </xf>
    <xf numFmtId="0" fontId="44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protection locked="0"/>
    </xf>
    <xf numFmtId="0" fontId="44" fillId="0" borderId="0" xfId="0" applyFont="1" applyAlignment="1" applyProtection="1">
      <protection locked="0"/>
    </xf>
    <xf numFmtId="0" fontId="40" fillId="0" borderId="0" xfId="0" applyFont="1" applyAlignment="1" applyProtection="1">
      <protection locked="0"/>
    </xf>
    <xf numFmtId="0" fontId="42" fillId="0" borderId="0" xfId="0" applyFont="1" applyProtection="1">
      <protection locked="0"/>
    </xf>
    <xf numFmtId="0" fontId="38" fillId="0" borderId="27" xfId="0" applyFont="1" applyBorder="1" applyProtection="1">
      <protection locked="0"/>
    </xf>
    <xf numFmtId="0" fontId="38" fillId="0" borderId="30" xfId="0" applyFont="1" applyBorder="1" applyProtection="1">
      <protection locked="0"/>
    </xf>
    <xf numFmtId="9" fontId="3" fillId="16" borderId="34" xfId="0" applyNumberFormat="1" applyFont="1" applyFill="1" applyBorder="1" applyAlignment="1" applyProtection="1">
      <alignment horizontal="center" vertical="center"/>
      <protection locked="0"/>
    </xf>
    <xf numFmtId="0" fontId="38" fillId="0" borderId="42" xfId="0" applyFont="1" applyBorder="1" applyAlignment="1" applyProtection="1">
      <protection locked="0"/>
    </xf>
    <xf numFmtId="0" fontId="4" fillId="0" borderId="42" xfId="0" applyFont="1" applyBorder="1" applyAlignment="1" applyProtection="1">
      <protection locked="0"/>
    </xf>
    <xf numFmtId="0" fontId="38" fillId="0" borderId="42" xfId="0" applyFont="1" applyBorder="1" applyProtection="1">
      <protection locked="0"/>
    </xf>
    <xf numFmtId="0" fontId="38" fillId="0" borderId="41" xfId="0" applyFont="1" applyBorder="1" applyAlignment="1" applyProtection="1">
      <alignment wrapText="1"/>
      <protection locked="0"/>
    </xf>
    <xf numFmtId="0" fontId="38" fillId="0" borderId="41" xfId="0" applyFont="1" applyBorder="1" applyAlignment="1" applyProtection="1">
      <alignment horizontal="left" wrapText="1"/>
      <protection locked="0"/>
    </xf>
    <xf numFmtId="0" fontId="38" fillId="0" borderId="44" xfId="0" applyFont="1" applyBorder="1" applyAlignment="1" applyProtection="1">
      <protection locked="0"/>
    </xf>
    <xf numFmtId="0" fontId="38" fillId="0" borderId="42" xfId="0" applyFont="1" applyBorder="1" applyAlignment="1" applyProtection="1">
      <alignment horizontal="right"/>
      <protection locked="0"/>
    </xf>
    <xf numFmtId="0" fontId="4" fillId="0" borderId="44" xfId="0" applyFont="1" applyBorder="1" applyAlignment="1" applyProtection="1">
      <protection locked="0"/>
    </xf>
    <xf numFmtId="0" fontId="38" fillId="0" borderId="41" xfId="0" applyFont="1" applyBorder="1" applyProtection="1">
      <protection locked="0"/>
    </xf>
    <xf numFmtId="0" fontId="0" fillId="0" borderId="44" xfId="0" applyFont="1" applyBorder="1" applyAlignment="1" applyProtection="1">
      <protection locked="0"/>
    </xf>
    <xf numFmtId="0" fontId="45" fillId="15" borderId="42" xfId="0" applyFont="1" applyFill="1" applyBorder="1" applyAlignment="1" applyProtection="1">
      <alignment horizontal="left" vertical="center" wrapText="1"/>
      <protection locked="0"/>
    </xf>
    <xf numFmtId="0" fontId="45" fillId="15" borderId="44" xfId="0" applyFont="1" applyFill="1" applyBorder="1" applyAlignment="1" applyProtection="1">
      <alignment horizontal="left" vertical="center" wrapText="1"/>
      <protection locked="0"/>
    </xf>
    <xf numFmtId="0" fontId="54" fillId="0" borderId="0" xfId="0" applyFont="1" applyProtection="1">
      <protection locked="0"/>
    </xf>
    <xf numFmtId="0" fontId="42" fillId="14" borderId="35" xfId="0" applyFont="1" applyFill="1" applyBorder="1" applyAlignment="1" applyProtection="1">
      <alignment horizontal="center"/>
      <protection locked="0"/>
    </xf>
    <xf numFmtId="0" fontId="42" fillId="14" borderId="34" xfId="0" applyFont="1" applyFill="1" applyBorder="1" applyAlignment="1" applyProtection="1">
      <alignment horizontal="center"/>
      <protection locked="0"/>
    </xf>
    <xf numFmtId="9" fontId="26" fillId="3" borderId="1" xfId="0" applyNumberFormat="1" applyFont="1" applyFill="1" applyBorder="1" applyProtection="1">
      <protection locked="0"/>
    </xf>
    <xf numFmtId="0" fontId="3" fillId="2" borderId="4" xfId="0" applyFont="1" applyFill="1" applyBorder="1" applyAlignment="1">
      <alignment horizontal="right"/>
    </xf>
    <xf numFmtId="0" fontId="4" fillId="0" borderId="5" xfId="0" applyFont="1" applyBorder="1"/>
    <xf numFmtId="0" fontId="4" fillId="0" borderId="6" xfId="0" applyFont="1" applyBorder="1"/>
    <xf numFmtId="0" fontId="2" fillId="2" borderId="2" xfId="0" applyFont="1" applyFill="1" applyBorder="1" applyAlignment="1">
      <alignment horizontal="center" vertical="top"/>
    </xf>
    <xf numFmtId="0" fontId="4" fillId="0" borderId="24" xfId="0" applyFont="1" applyBorder="1"/>
    <xf numFmtId="0" fontId="4" fillId="0" borderId="3" xfId="0" applyFont="1" applyBorder="1"/>
    <xf numFmtId="0" fontId="3" fillId="2" borderId="2" xfId="0" applyFont="1" applyFill="1" applyBorder="1" applyAlignment="1">
      <alignment horizontal="center" vertical="center" wrapText="1"/>
    </xf>
    <xf numFmtId="164" fontId="5" fillId="2" borderId="4" xfId="0" applyNumberFormat="1" applyFont="1" applyFill="1" applyBorder="1" applyAlignment="1">
      <alignment horizontal="right" vertical="center"/>
    </xf>
    <xf numFmtId="0" fontId="7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 applyProtection="1">
      <alignment horizontal="center"/>
      <protection locked="0"/>
    </xf>
    <xf numFmtId="0" fontId="4" fillId="0" borderId="5" xfId="0" applyFont="1" applyBorder="1" applyProtection="1">
      <protection locked="0"/>
    </xf>
    <xf numFmtId="0" fontId="4" fillId="0" borderId="6" xfId="0" applyFont="1" applyBorder="1" applyProtection="1">
      <protection locked="0"/>
    </xf>
    <xf numFmtId="0" fontId="3" fillId="10" borderId="4" xfId="0" applyFont="1" applyFill="1" applyBorder="1" applyAlignment="1">
      <alignment horizontal="center"/>
    </xf>
    <xf numFmtId="0" fontId="29" fillId="2" borderId="4" xfId="0" applyFont="1" applyFill="1" applyBorder="1" applyAlignment="1">
      <alignment horizontal="left" vertical="center"/>
    </xf>
    <xf numFmtId="0" fontId="38" fillId="0" borderId="31" xfId="0" applyFont="1" applyBorder="1" applyAlignment="1" applyProtection="1">
      <alignment horizontal="center"/>
      <protection locked="0"/>
    </xf>
    <xf numFmtId="0" fontId="38" fillId="0" borderId="41" xfId="0" applyFont="1" applyBorder="1" applyAlignment="1" applyProtection="1">
      <alignment horizontal="center"/>
      <protection locked="0"/>
    </xf>
    <xf numFmtId="0" fontId="4" fillId="0" borderId="41" xfId="0" applyFont="1" applyBorder="1" applyProtection="1">
      <protection locked="0"/>
    </xf>
    <xf numFmtId="0" fontId="38" fillId="0" borderId="43" xfId="0" applyFont="1" applyBorder="1" applyAlignment="1" applyProtection="1">
      <alignment horizontal="center"/>
      <protection locked="0"/>
    </xf>
    <xf numFmtId="0" fontId="4" fillId="0" borderId="43" xfId="0" applyFont="1" applyBorder="1" applyProtection="1">
      <protection locked="0"/>
    </xf>
    <xf numFmtId="0" fontId="38" fillId="0" borderId="48" xfId="0" applyFont="1" applyBorder="1" applyAlignment="1" applyProtection="1">
      <alignment horizontal="left"/>
      <protection locked="0"/>
    </xf>
    <xf numFmtId="0" fontId="38" fillId="0" borderId="49" xfId="0" applyFont="1" applyBorder="1" applyAlignment="1" applyProtection="1">
      <alignment horizontal="left"/>
      <protection locked="0"/>
    </xf>
    <xf numFmtId="0" fontId="38" fillId="0" borderId="50" xfId="0" applyFont="1" applyBorder="1" applyAlignment="1" applyProtection="1">
      <alignment horizontal="left"/>
      <protection locked="0"/>
    </xf>
    <xf numFmtId="0" fontId="38" fillId="0" borderId="51" xfId="0" applyFont="1" applyBorder="1" applyAlignment="1" applyProtection="1">
      <alignment horizontal="left"/>
      <protection locked="0"/>
    </xf>
    <xf numFmtId="0" fontId="38" fillId="0" borderId="24" xfId="0" applyFont="1" applyBorder="1" applyAlignment="1" applyProtection="1">
      <alignment horizontal="center"/>
      <protection locked="0"/>
    </xf>
    <xf numFmtId="0" fontId="38" fillId="0" borderId="27" xfId="0" applyFont="1" applyBorder="1" applyAlignment="1" applyProtection="1">
      <alignment horizontal="center"/>
      <protection locked="0"/>
    </xf>
    <xf numFmtId="0" fontId="38" fillId="0" borderId="43" xfId="0" applyFont="1" applyBorder="1" applyAlignment="1" applyProtection="1">
      <alignment horizontal="left"/>
      <protection locked="0"/>
    </xf>
    <xf numFmtId="0" fontId="43" fillId="0" borderId="43" xfId="0" applyFont="1" applyBorder="1" applyAlignment="1" applyProtection="1">
      <alignment horizontal="left"/>
      <protection locked="0"/>
    </xf>
    <xf numFmtId="0" fontId="38" fillId="0" borderId="41" xfId="0" applyFont="1" applyBorder="1" applyAlignment="1" applyProtection="1">
      <alignment horizontal="left"/>
      <protection locked="0"/>
    </xf>
    <xf numFmtId="0" fontId="38" fillId="0" borderId="23" xfId="0" applyFont="1" applyBorder="1" applyAlignment="1" applyProtection="1">
      <alignment horizontal="center"/>
      <protection locked="0"/>
    </xf>
    <xf numFmtId="0" fontId="4" fillId="0" borderId="23" xfId="0" applyFont="1" applyBorder="1" applyProtection="1">
      <protection locked="0"/>
    </xf>
    <xf numFmtId="0" fontId="38" fillId="0" borderId="44" xfId="0" applyFont="1" applyBorder="1" applyAlignment="1" applyProtection="1">
      <alignment horizontal="left"/>
      <protection locked="0"/>
    </xf>
    <xf numFmtId="0" fontId="45" fillId="15" borderId="45" xfId="0" applyFont="1" applyFill="1" applyBorder="1" applyAlignment="1" applyProtection="1">
      <alignment horizontal="center" vertical="center" wrapText="1"/>
      <protection locked="0"/>
    </xf>
    <xf numFmtId="0" fontId="45" fillId="15" borderId="46" xfId="0" applyFont="1" applyFill="1" applyBorder="1" applyAlignment="1" applyProtection="1">
      <alignment horizontal="center" vertical="center" wrapText="1"/>
      <protection locked="0"/>
    </xf>
    <xf numFmtId="0" fontId="45" fillId="15" borderId="47" xfId="0" applyFont="1" applyFill="1" applyBorder="1" applyAlignment="1" applyProtection="1">
      <alignment horizontal="center" vertical="center" wrapText="1"/>
      <protection locked="0"/>
    </xf>
    <xf numFmtId="0" fontId="4" fillId="0" borderId="27" xfId="0" applyFont="1" applyBorder="1" applyProtection="1">
      <protection locked="0"/>
    </xf>
    <xf numFmtId="0" fontId="39" fillId="12" borderId="23" xfId="0" applyFont="1" applyFill="1" applyBorder="1" applyAlignment="1" applyProtection="1">
      <alignment horizontal="center"/>
      <protection locked="0"/>
    </xf>
    <xf numFmtId="0" fontId="4" fillId="0" borderId="52" xfId="0" applyFont="1" applyBorder="1" applyProtection="1">
      <protection locked="0"/>
    </xf>
    <xf numFmtId="0" fontId="7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Protection="1">
      <protection locked="0"/>
    </xf>
    <xf numFmtId="0" fontId="39" fillId="12" borderId="4" xfId="0" applyFont="1" applyFill="1" applyBorder="1" applyAlignment="1" applyProtection="1">
      <alignment horizontal="center"/>
      <protection locked="0"/>
    </xf>
    <xf numFmtId="0" fontId="4" fillId="0" borderId="24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38" fillId="0" borderId="30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Protection="1">
      <protection locked="0"/>
    </xf>
    <xf numFmtId="0" fontId="38" fillId="0" borderId="33" xfId="0" applyFont="1" applyBorder="1" applyAlignment="1" applyProtection="1">
      <alignment horizontal="center"/>
      <protection locked="0"/>
    </xf>
    <xf numFmtId="0" fontId="4" fillId="0" borderId="33" xfId="0" applyFont="1" applyBorder="1" applyProtection="1">
      <protection locked="0"/>
    </xf>
    <xf numFmtId="0" fontId="38" fillId="0" borderId="30" xfId="0" applyFont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protection locked="0"/>
    </xf>
    <xf numFmtId="0" fontId="42" fillId="0" borderId="0" xfId="0" applyFont="1" applyAlignment="1" applyProtection="1">
      <alignment horizontal="left"/>
      <protection locked="0"/>
    </xf>
    <xf numFmtId="0" fontId="38" fillId="0" borderId="31" xfId="0" applyFont="1" applyBorder="1" applyAlignment="1" applyProtection="1">
      <alignment horizontal="right"/>
      <protection locked="0"/>
    </xf>
    <xf numFmtId="0" fontId="38" fillId="0" borderId="0" xfId="0" applyFont="1" applyAlignment="1" applyProtection="1">
      <alignment horizontal="center"/>
      <protection locked="0"/>
    </xf>
  </cellXfs>
  <cellStyles count="7">
    <cellStyle name="Hipervínculo" xfId="3" builtinId="8"/>
    <cellStyle name="Hipervínculo 2" xfId="5" xr:uid="{2806A760-0498-4C06-A614-505CCE4EF837}"/>
    <cellStyle name="Moneda 2" xfId="6" xr:uid="{22208DCF-EB08-4908-BDD6-D45D878E1C29}"/>
    <cellStyle name="Normal" xfId="0" builtinId="0"/>
    <cellStyle name="Normal 2" xfId="1" xr:uid="{BA6A512A-D319-4A8F-87BE-A46229FEBAD5}"/>
    <cellStyle name="Normal 2 2" xfId="4" xr:uid="{D517A114-0135-416A-B9AF-6ECBC21E854A}"/>
    <cellStyle name="Porcentaje 2" xfId="2" xr:uid="{2DA0B27E-35F9-440D-8CB3-55FBDB53D4DE}"/>
  </cellStyles>
  <dxfs count="124">
    <dxf>
      <font>
        <color theme="0"/>
      </font>
      <fill>
        <patternFill patternType="solid">
          <fgColor theme="0"/>
          <bgColor theme="0"/>
        </patternFill>
      </fill>
    </dxf>
    <dxf>
      <fill>
        <patternFill patternType="solid">
          <fgColor rgb="FFC5E0B3"/>
          <bgColor rgb="FFC5E0B3"/>
        </patternFill>
      </fill>
    </dxf>
    <dxf>
      <font>
        <b/>
        <color rgb="FFC5E0B3"/>
      </font>
      <fill>
        <patternFill patternType="none"/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rgb="FFC5E0B3"/>
      </font>
      <fill>
        <patternFill patternType="none"/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2" formatCode="&quot;$&quot;#,##0.00;[Red]\-&quot;$&quot;#,##0.00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numFmt numFmtId="168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numFmt numFmtId="20" formatCode="dd\-mmm\-yy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b/>
        <color rgb="FFFFFF0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7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SIMULADOR-style" pivot="0" count="4" xr9:uid="{00000000-0011-0000-FFFF-FFFF00000000}">
      <tableStyleElement type="headerRow" dxfId="123"/>
      <tableStyleElement type="totalRow" dxfId="122"/>
      <tableStyleElement type="firstRowStripe" dxfId="121"/>
      <tableStyleElement type="secondRowStripe" dxfId="120"/>
    </tableStyle>
    <tableStyle name="SIMULADOR-style 2" pivot="0" count="4" xr9:uid="{00000000-0011-0000-FFFF-FFFF01000000}">
      <tableStyleElement type="headerRow" dxfId="119"/>
      <tableStyleElement type="totalRow" dxfId="118"/>
      <tableStyleElement type="firstRowStripe" dxfId="117"/>
      <tableStyleElement type="secondRowStripe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762000</xdr:colOff>
      <xdr:row>0</xdr:row>
      <xdr:rowOff>47625</xdr:rowOff>
    </xdr:from>
    <xdr:ext cx="1981200" cy="638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357441" y="3461593"/>
          <a:ext cx="1977119" cy="636815"/>
        </a:xfrm>
        <a:prstGeom prst="rect">
          <a:avLst/>
        </a:prstGeom>
        <a:solidFill>
          <a:srgbClr val="FF0000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800"/>
            <a:buFont typeface="Calibri"/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GUARDAR Y ENVIAR EN </a:t>
          </a:r>
          <a:r>
            <a:rPr lang="en-US" sz="2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PDF</a:t>
          </a:r>
          <a:endParaRPr sz="1400" b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4</xdr:col>
      <xdr:colOff>76200</xdr:colOff>
      <xdr:row>5</xdr:row>
      <xdr:rowOff>19050</xdr:rowOff>
    </xdr:from>
    <xdr:ext cx="3028950" cy="104775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ogamacair\Downloads\Presupuesto%20Marketing%20CCIM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upuesto Mensual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E65:M102" totalsRowCount="1">
  <tableColumns count="9">
    <tableColumn id="1" xr3:uid="{00000000-0010-0000-0000-000001000000}" name="PERIODO" totalsRowFunction="custom" totalsRowDxfId="16">
      <totalsRowFormula>SUBTOTAL(102,SIMULADOR!$E$66:$E$101)</totalsRowFormula>
    </tableColumn>
    <tableColumn id="2" xr3:uid="{00000000-0010-0000-0000-000002000000}" name="FECHA" totalsRowFunction="custom" totalsRowDxfId="15">
      <totalsRowFormula>VLOOKUP(E102,SIMULADOR!$E$65:$M$101,2,0)</totalsRowFormula>
    </tableColumn>
    <tableColumn id="3" xr3:uid="{00000000-0010-0000-0000-000003000000}" name="SALDO INICIAL" totalsRowDxfId="14"/>
    <tableColumn id="4" xr3:uid="{00000000-0010-0000-0000-000004000000}" name="MENSUALIDAD" totalsRowFunction="custom" totalsRowDxfId="13">
      <totalsRowFormula>SUBTOTAL(109,SIMULADOR!$H$66:$H$101)</totalsRowFormula>
    </tableColumn>
    <tableColumn id="5" xr3:uid="{00000000-0010-0000-0000-000005000000}" name="ABONOS" totalsRowFunction="custom" totalsRowDxfId="12">
      <totalsRowFormula>SUBTOTAL(109,SIMULADOR!$I$66:$I$101)</totalsRowFormula>
    </tableColumn>
    <tableColumn id="6" xr3:uid="{00000000-0010-0000-0000-000006000000}" name="MENSUALIDAD + ABONO" totalsRowFunction="custom" totalsRowDxfId="11">
      <totalsRowFormula>SUBTOTAL(109,SIMULADOR!$J$66:$J$101)</totalsRowFormula>
    </tableColumn>
    <tableColumn id="7" xr3:uid="{00000000-0010-0000-0000-000007000000}" name="INTERÉS" totalsRowFunction="custom" totalsRowDxfId="10">
      <totalsRowFormula>SUBTOTAL(109,SIMULADOR!$K$66:$K$101)</totalsRowFormula>
    </tableColumn>
    <tableColumn id="8" xr3:uid="{00000000-0010-0000-0000-000008000000}" name="ABONO A CAPITAL" totalsRowFunction="custom" totalsRowDxfId="9">
      <totalsRowFormula>SUBTOTAL(109,SIMULADOR!$L$66:$L$101)</totalsRowFormula>
    </tableColumn>
    <tableColumn id="9" xr3:uid="{00000000-0010-0000-0000-000009000000}" name="SALDO FINAL" totalsRowFunction="custom" totalsRowDxfId="8">
      <totalsRowFormula>VLOOKUP(E102,SIMULADOR!$E$65:$M$101,9,0)-SIMULADOR!$I$102</totalsRowFormula>
    </tableColumn>
  </tableColumns>
  <tableStyleInfo name="SIMULADOR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E115:M201" totalsRowCount="1">
  <tableColumns count="9">
    <tableColumn id="1" xr3:uid="{00000000-0010-0000-0100-000001000000}" name="PERIODO" totalsRowFunction="custom">
      <totalsRowFormula>SUBTOTAL(102,SIMULADOR!$E$116:$E$200)+SIMULADOR!$E$102</totalsRowFormula>
    </tableColumn>
    <tableColumn id="2" xr3:uid="{00000000-0010-0000-0100-000002000000}" name="FECHA"/>
    <tableColumn id="3" xr3:uid="{00000000-0010-0000-0100-000003000000}" name="SALDO INICIAL"/>
    <tableColumn id="4" xr3:uid="{00000000-0010-0000-0100-000004000000}" name="MENSUALIDAD" totalsRowFunction="custom">
      <totalsRowFormula>SUBTOTAL(109,SIMULADOR!$H$116:$H$200)</totalsRowFormula>
    </tableColumn>
    <tableColumn id="5" xr3:uid="{00000000-0010-0000-0100-000005000000}" name="ABONOS" totalsRowFunction="custom">
      <totalsRowFormula>SUBTOTAL(109,SIMULADOR!$I$116:$I$200)</totalsRowFormula>
    </tableColumn>
    <tableColumn id="6" xr3:uid="{00000000-0010-0000-0100-000006000000}" name="MENSUALIDAD + ABONO" totalsRowFunction="custom">
      <totalsRowFormula>SUBTOTAL(109,SIMULADOR!$J$116:$J$200)</totalsRowFormula>
    </tableColumn>
    <tableColumn id="7" xr3:uid="{00000000-0010-0000-0100-000007000000}" name="INTERÉS" totalsRowFunction="custom">
      <totalsRowFormula>SUBTOTAL(109,SIMULADOR!$K$116:$K$200)</totalsRowFormula>
    </tableColumn>
    <tableColumn id="8" xr3:uid="{00000000-0010-0000-0100-000008000000}" name="ABONO A CAPITAL" totalsRowFunction="custom">
      <totalsRowFormula>SUBTOTAL(109,SIMULADOR!$L$116:$L$200)</totalsRowFormula>
    </tableColumn>
    <tableColumn id="9" xr3:uid="{00000000-0010-0000-0100-000009000000}" name="SALDO FINAL" totalsRowFunction="custom">
      <totalsRowFormula>VLOOKUP(E201,SIMULADOR!$E$115:$M$200,9,0)</totalsRowFormula>
    </tableColumn>
  </tableColumns>
  <tableStyleInfo name="SIMULADOR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DIVORCIAD@" TargetMode="External"/><Relationship Id="rId2" Type="http://schemas.openxmlformats.org/officeDocument/2006/relationships/hyperlink" Target="mailto:SOLTER@" TargetMode="External"/><Relationship Id="rId1" Type="http://schemas.openxmlformats.org/officeDocument/2006/relationships/hyperlink" Target="mailto:CASAD@" TargetMode="External"/><Relationship Id="rId4" Type="http://schemas.openxmlformats.org/officeDocument/2006/relationships/hyperlink" Target="mailto:VIUD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pageSetUpPr fitToPage="1"/>
  </sheetPr>
  <dimension ref="A1:AH1000"/>
  <sheetViews>
    <sheetView tabSelected="1" topLeftCell="D1" workbookViewId="0">
      <selection activeCell="F13" sqref="F13"/>
    </sheetView>
  </sheetViews>
  <sheetFormatPr baseColWidth="10" defaultColWidth="14.42578125" defaultRowHeight="15" customHeight="1" outlineLevelRow="1" x14ac:dyDescent="0.25"/>
  <cols>
    <col min="1" max="3" width="11.42578125" hidden="1" customWidth="1"/>
    <col min="4" max="4" width="11.42578125" style="134" customWidth="1"/>
    <col min="5" max="5" width="11.5703125" customWidth="1"/>
    <col min="6" max="6" width="22.7109375" customWidth="1"/>
    <col min="7" max="7" width="25.42578125" customWidth="1"/>
    <col min="8" max="8" width="28.85546875" customWidth="1"/>
    <col min="9" max="9" width="20.5703125" customWidth="1"/>
    <col min="10" max="10" width="33.28515625" customWidth="1"/>
    <col min="11" max="11" width="37.7109375" customWidth="1"/>
    <col min="12" max="12" width="24.140625" customWidth="1"/>
    <col min="13" max="13" width="22.28515625" customWidth="1"/>
    <col min="14" max="14" width="24" customWidth="1"/>
    <col min="15" max="15" width="9.85546875" customWidth="1"/>
    <col min="16" max="16" width="27" customWidth="1"/>
    <col min="17" max="17" width="12.7109375" customWidth="1"/>
    <col min="18" max="18" width="18.7109375" customWidth="1"/>
    <col min="19" max="19" width="14.7109375" customWidth="1"/>
    <col min="20" max="20" width="7.5703125" customWidth="1"/>
    <col min="21" max="22" width="11.42578125" customWidth="1"/>
    <col min="23" max="23" width="15.140625" customWidth="1"/>
    <col min="24" max="24" width="16.5703125" customWidth="1"/>
    <col min="25" max="26" width="12" customWidth="1"/>
    <col min="27" max="27" width="12.7109375" customWidth="1"/>
    <col min="28" max="28" width="18.7109375" customWidth="1"/>
    <col min="29" max="29" width="15.42578125" customWidth="1"/>
    <col min="30" max="34" width="11.42578125" customWidth="1"/>
  </cols>
  <sheetData>
    <row r="1" spans="1:34" ht="18" customHeight="1" x14ac:dyDescent="0.25">
      <c r="A1" s="1"/>
      <c r="B1" s="1"/>
      <c r="C1" s="2"/>
      <c r="D1" s="143"/>
      <c r="E1" s="1"/>
      <c r="F1" s="1"/>
      <c r="G1" s="1"/>
      <c r="H1" s="1"/>
      <c r="I1" s="1"/>
      <c r="J1" s="1"/>
      <c r="K1" s="1"/>
      <c r="L1" s="1"/>
      <c r="M1" s="3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" customHeight="1" x14ac:dyDescent="0.25">
      <c r="A2" s="1"/>
      <c r="B2" s="1"/>
      <c r="C2" s="2"/>
      <c r="D2" s="143"/>
      <c r="E2" s="1"/>
      <c r="F2" s="1"/>
      <c r="G2" s="1"/>
      <c r="H2" s="1"/>
      <c r="I2" s="1"/>
      <c r="J2" s="1"/>
      <c r="K2" s="1"/>
      <c r="L2" s="1"/>
      <c r="M2" s="3"/>
      <c r="N2" s="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" customHeight="1" x14ac:dyDescent="0.25">
      <c r="A3" s="2"/>
      <c r="B3" s="2"/>
      <c r="C3" s="2"/>
      <c r="D3" s="143"/>
      <c r="E3" s="2"/>
      <c r="F3" s="2"/>
      <c r="G3" s="2"/>
      <c r="H3" s="2"/>
      <c r="I3" s="2"/>
      <c r="J3" s="2"/>
      <c r="K3" s="2"/>
      <c r="L3" s="239"/>
      <c r="M3" s="4"/>
      <c r="N3" s="4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" customHeight="1" x14ac:dyDescent="0.25">
      <c r="A4" s="2"/>
      <c r="B4" s="2"/>
      <c r="C4" s="2"/>
      <c r="D4" s="143"/>
      <c r="E4" s="2"/>
      <c r="F4" s="2"/>
      <c r="G4" s="2"/>
      <c r="H4" s="2"/>
      <c r="I4" s="2"/>
      <c r="J4" s="2"/>
      <c r="K4" s="2"/>
      <c r="L4" s="238"/>
      <c r="M4" s="4"/>
      <c r="N4" s="4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" customHeight="1" x14ac:dyDescent="0.25">
      <c r="A5" s="2"/>
      <c r="B5" s="2"/>
      <c r="C5" s="2"/>
      <c r="D5" s="143"/>
      <c r="E5" s="2"/>
      <c r="F5" s="2"/>
      <c r="G5" s="2"/>
      <c r="H5" s="2"/>
      <c r="I5" s="2"/>
      <c r="J5" s="2"/>
      <c r="K5" s="2"/>
      <c r="L5" s="2"/>
      <c r="M5" s="4"/>
      <c r="N5" s="4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8" customHeight="1" x14ac:dyDescent="0.25">
      <c r="A6" s="2"/>
      <c r="B6" s="2"/>
      <c r="C6" s="2"/>
      <c r="D6" s="143"/>
      <c r="E6" s="2"/>
      <c r="F6" s="2"/>
      <c r="G6" s="2"/>
      <c r="H6" s="2"/>
      <c r="I6" s="2"/>
      <c r="J6" s="2"/>
      <c r="K6" s="2"/>
      <c r="L6" s="2"/>
      <c r="M6" s="4"/>
      <c r="N6" s="4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30" customHeight="1" x14ac:dyDescent="0.25">
      <c r="A7" s="2"/>
      <c r="B7" s="2"/>
      <c r="C7" s="2"/>
      <c r="D7" s="143"/>
      <c r="E7" s="2"/>
      <c r="F7" s="2"/>
      <c r="G7" s="2"/>
      <c r="H7" s="2"/>
      <c r="I7" s="2"/>
      <c r="J7" s="240">
        <f ca="1">TODAY()</f>
        <v>44728</v>
      </c>
      <c r="K7" s="234"/>
      <c r="L7" s="234"/>
      <c r="M7" s="234"/>
      <c r="N7" s="23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" customHeight="1" x14ac:dyDescent="0.25">
      <c r="A8" s="2"/>
      <c r="B8" s="2"/>
      <c r="C8" s="2"/>
      <c r="D8" s="143"/>
      <c r="E8" s="2"/>
      <c r="F8" s="2"/>
      <c r="G8" s="5" t="s">
        <v>0</v>
      </c>
      <c r="H8" s="125"/>
      <c r="I8" s="126"/>
      <c r="J8" s="2"/>
      <c r="K8" s="6"/>
      <c r="L8" s="7" t="s">
        <v>1</v>
      </c>
      <c r="M8" s="241" t="str">
        <f>CONCATENATE(H9,"  |  ",MID(H9,1,),RIGHT(F14,1)," ",F13," |  ",F15,"m2")</f>
        <v>AEROPUERTO (Nave)  |    |  100m2</v>
      </c>
      <c r="N8" s="235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" customHeight="1" x14ac:dyDescent="0.25">
      <c r="A9" s="1"/>
      <c r="B9" s="1"/>
      <c r="C9" s="2"/>
      <c r="D9" s="143"/>
      <c r="E9" s="2"/>
      <c r="F9" s="1"/>
      <c r="G9" s="5" t="s">
        <v>2</v>
      </c>
      <c r="H9" s="127" t="s">
        <v>19</v>
      </c>
      <c r="I9" s="128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" customHeight="1" x14ac:dyDescent="0.25">
      <c r="A10" s="1"/>
      <c r="B10" s="1"/>
      <c r="C10" s="2"/>
      <c r="D10" s="143"/>
      <c r="E10" s="1"/>
      <c r="F10" s="2"/>
      <c r="G10" s="6"/>
      <c r="H10" s="8"/>
      <c r="I10" s="8"/>
      <c r="J10" s="2"/>
      <c r="K10" s="2"/>
      <c r="L10" s="9">
        <f>IF($E$12="LOTE",0%,IF($E$12="NAVE",12.8%,""))</f>
        <v>0.128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8" customHeight="1" x14ac:dyDescent="0.25">
      <c r="A11" s="1"/>
      <c r="B11" s="1"/>
      <c r="C11" s="2"/>
      <c r="D11" s="143"/>
      <c r="E11" s="6"/>
      <c r="F11" s="6"/>
      <c r="G11" s="6"/>
      <c r="H11" s="6"/>
      <c r="I11" s="6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24" customHeight="1" x14ac:dyDescent="0.25">
      <c r="A12" s="1" t="s">
        <v>4</v>
      </c>
      <c r="B12" s="1"/>
      <c r="C12" s="2"/>
      <c r="D12" s="143"/>
      <c r="E12" s="10" t="str">
        <f>IF($H$9="AEROPUERTO (Lote)","LOTE",IF($H$9="AEROPUERTO (Nave)","NAVE",IF($H$9="PEDRO ESCOBEDO (Nave)","NAVE",IF($H$9="PEDRO ESCOBEDO (Lote)","LOTE",IF($H$9="SAN LUIS POTOSI (Nave)","NAVE",IF($H$9="SAN LUIS POTOSI (Lote)","LOTE",IF($H$9="GAMMA II ETAPA 1","NAVE",IF($H$9="GAMMA II ETAPA 2","NAVE",IF($H$9="CELTA","LOTE",IF($H$9="STA ROSA (Nave)","NAVE",""))))))))))</f>
        <v>NAVE</v>
      </c>
      <c r="F12" s="1"/>
      <c r="G12" s="6"/>
      <c r="H12" s="6"/>
      <c r="I12" s="6"/>
      <c r="J12" s="11" t="s">
        <v>5</v>
      </c>
      <c r="K12" s="12" t="s">
        <v>6</v>
      </c>
      <c r="L12" s="12" t="s">
        <v>7</v>
      </c>
      <c r="M12" s="12" t="s">
        <v>8</v>
      </c>
      <c r="N12" s="13" t="s">
        <v>9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8" customHeight="1" x14ac:dyDescent="0.25">
      <c r="A13" s="1" t="s">
        <v>10</v>
      </c>
      <c r="B13" s="1"/>
      <c r="C13" s="2"/>
      <c r="D13" s="143"/>
      <c r="E13" s="14" t="s">
        <v>11</v>
      </c>
      <c r="F13" s="122"/>
      <c r="G13" s="6"/>
      <c r="H13" s="6"/>
      <c r="I13" s="6"/>
      <c r="J13" s="6"/>
      <c r="K13" s="15" t="str">
        <f>IF(P17&gt;"0",K17-K18,"")</f>
        <v/>
      </c>
      <c r="L13" s="2"/>
      <c r="M13" s="16"/>
      <c r="N13" s="16"/>
      <c r="O13" s="17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" customHeight="1" x14ac:dyDescent="0.25">
      <c r="A14" s="1" t="s">
        <v>12</v>
      </c>
      <c r="B14" s="1"/>
      <c r="C14" s="2"/>
      <c r="D14" s="143"/>
      <c r="E14" s="18" t="str">
        <f>E12</f>
        <v>NAVE</v>
      </c>
      <c r="F14" s="123"/>
      <c r="G14" s="6"/>
      <c r="H14" s="6"/>
      <c r="I14" s="6"/>
      <c r="J14" s="19" t="s">
        <v>13</v>
      </c>
      <c r="K14" s="20">
        <f>F15*F16</f>
        <v>1300000</v>
      </c>
      <c r="L14" s="21">
        <f t="shared" ref="L14:L22" si="0">IF(OR($L$10=0%,$L$10=""),"",K14*($L$10))</f>
        <v>166400</v>
      </c>
      <c r="M14" s="21">
        <f t="shared" ref="M14:M22" si="1">SUM(K14:L14)</f>
        <v>1466400</v>
      </c>
      <c r="N14" s="22"/>
      <c r="O14" s="17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8" customHeight="1" x14ac:dyDescent="0.25">
      <c r="A15" s="1" t="s">
        <v>14</v>
      </c>
      <c r="B15" s="1"/>
      <c r="C15" s="2"/>
      <c r="D15" s="143"/>
      <c r="E15" s="23" t="s">
        <v>15</v>
      </c>
      <c r="F15" s="123">
        <v>100</v>
      </c>
      <c r="G15" s="6"/>
      <c r="H15" s="6"/>
      <c r="I15" s="6"/>
      <c r="J15" s="24" t="s">
        <v>16</v>
      </c>
      <c r="K15" s="25">
        <f>$K$14*$N$15</f>
        <v>195000</v>
      </c>
      <c r="L15" s="21">
        <f t="shared" si="0"/>
        <v>24960</v>
      </c>
      <c r="M15" s="21">
        <f t="shared" si="1"/>
        <v>219960</v>
      </c>
      <c r="N15" s="129">
        <v>0.15</v>
      </c>
      <c r="O15" s="17"/>
      <c r="P15" s="26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8" customHeight="1" x14ac:dyDescent="0.25">
      <c r="A16" s="1" t="s">
        <v>3</v>
      </c>
      <c r="B16" s="1"/>
      <c r="C16" s="2"/>
      <c r="D16" s="143"/>
      <c r="E16" s="23" t="s">
        <v>17</v>
      </c>
      <c r="F16" s="124">
        <v>13000</v>
      </c>
      <c r="G16" s="6"/>
      <c r="H16" s="6"/>
      <c r="I16" s="6"/>
      <c r="J16" s="7" t="s">
        <v>18</v>
      </c>
      <c r="K16" s="27">
        <f>K14-K15</f>
        <v>1105000</v>
      </c>
      <c r="L16" s="21">
        <f t="shared" si="0"/>
        <v>141440</v>
      </c>
      <c r="M16" s="21">
        <f t="shared" si="1"/>
        <v>1246440</v>
      </c>
      <c r="N16" s="28"/>
      <c r="O16" s="2"/>
      <c r="P16" s="131">
        <f>$N$17</f>
        <v>0.3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8" customHeight="1" x14ac:dyDescent="0.25">
      <c r="A17" s="1" t="s">
        <v>19</v>
      </c>
      <c r="B17" s="1"/>
      <c r="C17" s="2"/>
      <c r="D17" s="143"/>
      <c r="E17" s="29" t="s">
        <v>20</v>
      </c>
      <c r="F17" s="30">
        <f>F16-(F16*N15)</f>
        <v>11050</v>
      </c>
      <c r="G17" s="6"/>
      <c r="H17" s="6"/>
      <c r="I17" s="6"/>
      <c r="J17" s="31" t="s">
        <v>21</v>
      </c>
      <c r="K17" s="21">
        <f>$K$16*$N$17</f>
        <v>331500</v>
      </c>
      <c r="L17" s="21">
        <f t="shared" si="0"/>
        <v>42432</v>
      </c>
      <c r="M17" s="21">
        <f t="shared" si="1"/>
        <v>373932</v>
      </c>
      <c r="N17" s="32">
        <f>IF($H$9="AEROPUERTO (Lote)",30%,IF($H$9="AEROPUERTO (Nave)",30%,IF($H$9="PEDRO ESCOBEDO (Nave)",30%,IF($H$9="PEDRO ESCOBEDO (Lote)",30%,IF($H$9="SAN LUIS POTOSI (Nave)",30%,IF($H$9="SAN LUIS POTOSI (Lote)",30%,IF($H$9="GAMMA II ETAPA 1",30%,IF($H$9="GAMMA II ETAPA 2",30%,IF($H$9="CELTA",30%,IF($H$9="STA ROSA (NAve)",50%,""))))))))))</f>
        <v>0.3</v>
      </c>
      <c r="O17" s="2"/>
      <c r="P17" s="13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" customHeight="1" x14ac:dyDescent="0.25">
      <c r="A18" s="1" t="s">
        <v>22</v>
      </c>
      <c r="B18" s="1"/>
      <c r="C18" s="2"/>
      <c r="D18" s="143"/>
      <c r="E18" s="6"/>
      <c r="F18" s="6"/>
      <c r="G18" s="6"/>
      <c r="H18" s="6"/>
      <c r="I18" s="6"/>
      <c r="J18" s="33" t="s">
        <v>23</v>
      </c>
      <c r="K18" s="34">
        <f>IF($H$9="AEROPUERTO (Lote)",K16*0.3*N18,IF($H$9="AEROPUERTO (Nave)",K16*0*N18,IF($H$9="PEDRO ESCOBEDO (Nave)",K16*0*N18,IF($H$9="PEDRO ESCOBEDO (Lote)",K16*0.3*N18,IF($H$9="SAN LUIS POTOSI (Nave)",K16*0*N18,IF($H$9="SAN LUIS POTOSI (Lote)",K16*0.3*N18,IF($H$9="GAMMA II ETAPA 1",K16*0*N18,IF($H$9="GAMMA II ETAPA 2",K16*0*N18,IF($H$9="CELTA",K16*0.3*N18,IF($H$9="STA ROSA (NAve)",K16*0*N18,""))))))))))</f>
        <v>0</v>
      </c>
      <c r="L18" s="21">
        <f t="shared" si="0"/>
        <v>0</v>
      </c>
      <c r="M18" s="21">
        <f t="shared" si="1"/>
        <v>0</v>
      </c>
      <c r="N18" s="130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" customHeight="1" x14ac:dyDescent="0.25">
      <c r="A19" s="1" t="s">
        <v>24</v>
      </c>
      <c r="B19" s="1"/>
      <c r="C19" s="2"/>
      <c r="D19" s="143"/>
      <c r="E19" s="6"/>
      <c r="F19" s="6"/>
      <c r="G19" s="6"/>
      <c r="H19" s="6"/>
      <c r="I19" s="6"/>
      <c r="J19" s="33" t="s">
        <v>25</v>
      </c>
      <c r="K19" s="35" t="str">
        <f>IF(P17&gt;K17,P17-(K17-K18),"0")</f>
        <v>0</v>
      </c>
      <c r="L19" s="21">
        <f t="shared" si="0"/>
        <v>0</v>
      </c>
      <c r="M19" s="21">
        <f t="shared" si="1"/>
        <v>0</v>
      </c>
      <c r="N19" s="36"/>
      <c r="O19" s="37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" customHeight="1" x14ac:dyDescent="0.25">
      <c r="A20" s="1" t="s">
        <v>26</v>
      </c>
      <c r="B20" s="1"/>
      <c r="C20" s="2"/>
      <c r="D20" s="143"/>
      <c r="E20" s="6"/>
      <c r="F20" s="6"/>
      <c r="G20" s="6"/>
      <c r="H20" s="6"/>
      <c r="I20" s="6"/>
      <c r="J20" s="19" t="s">
        <v>27</v>
      </c>
      <c r="K20" s="38">
        <f>K17-K18+K19</f>
        <v>331500</v>
      </c>
      <c r="L20" s="21">
        <f t="shared" si="0"/>
        <v>42432</v>
      </c>
      <c r="M20" s="21">
        <f t="shared" si="1"/>
        <v>373932</v>
      </c>
      <c r="N20" s="32">
        <f>K20/K16</f>
        <v>0.3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30" customHeight="1" x14ac:dyDescent="0.25">
      <c r="A21" s="1" t="s">
        <v>28</v>
      </c>
      <c r="B21" s="1"/>
      <c r="C21" s="2"/>
      <c r="D21" s="143"/>
      <c r="E21" s="39" t="s">
        <v>29</v>
      </c>
      <c r="F21" s="40"/>
      <c r="G21" s="6"/>
      <c r="H21" s="6"/>
      <c r="I21" s="6"/>
      <c r="J21" s="19" t="s">
        <v>30</v>
      </c>
      <c r="K21" s="38">
        <f>SUM(K20+K22)</f>
        <v>1105000</v>
      </c>
      <c r="L21" s="21">
        <f t="shared" si="0"/>
        <v>141440</v>
      </c>
      <c r="M21" s="21">
        <f t="shared" si="1"/>
        <v>1246440</v>
      </c>
      <c r="N21" s="28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30" customHeight="1" x14ac:dyDescent="0.25">
      <c r="A22" s="1" t="s">
        <v>31</v>
      </c>
      <c r="B22" s="1"/>
      <c r="C22" s="2"/>
      <c r="D22" s="143"/>
      <c r="E22" s="6"/>
      <c r="F22" s="6"/>
      <c r="G22" s="41">
        <f>H22/12</f>
        <v>10</v>
      </c>
      <c r="H22" s="42">
        <f>IF($H$9="AEROPUERTO (Lote)",84,IF($H$9="AEROPUERTO (Nave)",120,IF($H$9="PEDRO ESCOBEDO (Nave)",60,IF($H$9="PEDRO ESCOBEDO (Lote)",60,IF($H$9="SAN LUIS POTOSI (Nave)",60,IF($H$9="SAN LUIS POTOSI (Lote)",60,IF($H$9="GAMMA II ETAPA 1",60,IF($H$9="GAMMA II ETAPA 2",60,IF($H$9="CELTA",60,IF($H$9="STA ROSA (Nave)",10,""))))))))))</f>
        <v>120</v>
      </c>
      <c r="I22" s="2"/>
      <c r="J22" s="19" t="s">
        <v>32</v>
      </c>
      <c r="K22" s="38">
        <f>K16-$K$17-K19</f>
        <v>773500</v>
      </c>
      <c r="L22" s="21">
        <f t="shared" si="0"/>
        <v>99008</v>
      </c>
      <c r="M22" s="21">
        <f t="shared" si="1"/>
        <v>872508</v>
      </c>
      <c r="N22" s="28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30" customHeight="1" x14ac:dyDescent="0.25">
      <c r="A23" s="1" t="s">
        <v>33</v>
      </c>
      <c r="B23" s="1"/>
      <c r="C23" s="2"/>
      <c r="D23" s="143"/>
      <c r="E23" s="43">
        <v>1</v>
      </c>
      <c r="F23" s="44">
        <f>G23</f>
        <v>36</v>
      </c>
      <c r="G23" s="45">
        <f>IF($H$9="AEROPUERTO (Lote)",24,IF($H$9="AEROPUERTO (Nave)",36,IF($H$9="PEDRO ESCOBEDO (Nave)",24,IF($H$9="PEDRO ESCOBEDO (Lote)",24,IF($H$9="SAN LUIS POTOSI (Nave)",36,IF($H$9="SAN LUIS POTOSI (Lote)",36,IF($H$9="GAMMA II ETAPA 1",9,IF($H$9="GAMMA II ETAPA 2",15,IF($H$9="CELTA",36,IF($H$9="STA ROSA (Nave)",4,""))))))))))</f>
        <v>36</v>
      </c>
      <c r="H23" s="46">
        <v>0</v>
      </c>
      <c r="I23" s="2"/>
      <c r="J23" s="2"/>
      <c r="K23" s="2"/>
      <c r="L23" s="2"/>
      <c r="M23" s="2"/>
      <c r="N23" s="2"/>
      <c r="O23" s="2"/>
      <c r="P23" s="6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30" customHeight="1" x14ac:dyDescent="0.25">
      <c r="A24" s="1"/>
      <c r="B24" s="1"/>
      <c r="C24" s="1"/>
      <c r="D24" s="1"/>
      <c r="E24" s="47">
        <f>F23+1</f>
        <v>37</v>
      </c>
      <c r="F24" s="48">
        <f>H22</f>
        <v>120</v>
      </c>
      <c r="G24" s="49">
        <f>IF($H$9="AEROPUERTO (lote)",60,IF($H$9="AEROPUERTO (Nave)",84,IF($H$9="PEDRO ESCOBEDO (Nave)",36,IF($H$9="PEDRO ESCOBEDO (Lote)",36,IF($H$9="SAN LUIS POTOSI (Nave)",24,IF($H$9="SAN LUIS POTOSI (Lote)",24,IF($H$9="GAMMA II ETAPA 1",51,IF($H$9="GAMMA II ETAPA 2",45,IF($H$9="CELTA",24,IF($H$9="STA ROSA (Nave)",6,""))))))))))</f>
        <v>84</v>
      </c>
      <c r="H24" s="50">
        <f>IF($E$12="LOTE",2%,IF($E$12="NAVE",2%,""))</f>
        <v>0.02</v>
      </c>
      <c r="I24" s="2"/>
      <c r="J24" s="51" t="s">
        <v>34</v>
      </c>
      <c r="K24" s="2"/>
      <c r="L24" s="11" t="s">
        <v>6</v>
      </c>
      <c r="M24" s="12" t="s">
        <v>7</v>
      </c>
      <c r="N24" s="13" t="s">
        <v>8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30" customHeight="1" x14ac:dyDescent="0.25">
      <c r="A25" s="1" t="s">
        <v>35</v>
      </c>
      <c r="B25" s="1"/>
      <c r="C25" s="2"/>
      <c r="D25" s="143"/>
      <c r="E25" s="52"/>
      <c r="F25" s="53"/>
      <c r="G25" s="54"/>
      <c r="H25" s="54"/>
      <c r="I25" s="2"/>
      <c r="J25" s="54"/>
      <c r="K25" s="2"/>
      <c r="L25" s="54"/>
      <c r="M25" s="54"/>
      <c r="N25" s="54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27.75" customHeight="1" x14ac:dyDescent="0.25">
      <c r="A26" s="1" t="s">
        <v>36</v>
      </c>
      <c r="B26" s="1"/>
      <c r="C26" s="2"/>
      <c r="D26" s="143"/>
      <c r="E26" s="6"/>
      <c r="F26" s="6"/>
      <c r="G26" s="6"/>
      <c r="H26" s="2"/>
      <c r="I26" s="2"/>
      <c r="J26" s="1"/>
      <c r="K26" s="55"/>
      <c r="L26" s="56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ht="27.75" customHeight="1" x14ac:dyDescent="0.25">
      <c r="A27" s="1" t="s">
        <v>37</v>
      </c>
      <c r="B27" s="1"/>
      <c r="C27" s="2"/>
      <c r="D27" s="143"/>
      <c r="E27" s="6"/>
      <c r="F27" s="6"/>
      <c r="G27" s="6"/>
      <c r="H27" s="6"/>
      <c r="I27" s="6"/>
      <c r="J27" s="57">
        <f t="shared" ref="J27:J28" si="2">E23</f>
        <v>1</v>
      </c>
      <c r="K27" s="58">
        <f>G23</f>
        <v>36</v>
      </c>
      <c r="L27" s="20">
        <f t="shared" ref="L27:L28" si="3">IF($L$10=12.8%,(N27/1.128),IF($M$27="",_xludf.AGGREGATE(9,6,M27:N27)))</f>
        <v>6445.8333333333339</v>
      </c>
      <c r="M27" s="21">
        <f t="shared" ref="M27:M28" si="4">IF($L$10=12.8%,N27-(N27/1.128),"")</f>
        <v>825.0666666666657</v>
      </c>
      <c r="N27" s="21">
        <f>$H$63</f>
        <v>7270.9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ht="27.75" customHeight="1" x14ac:dyDescent="0.25">
      <c r="A28" s="1"/>
      <c r="B28" s="1"/>
      <c r="C28" s="2"/>
      <c r="D28" s="143"/>
      <c r="E28" s="6"/>
      <c r="F28" s="6"/>
      <c r="G28" s="6"/>
      <c r="H28" s="6"/>
      <c r="I28" s="6"/>
      <c r="J28" s="57">
        <f t="shared" si="2"/>
        <v>37</v>
      </c>
      <c r="K28" s="59">
        <f>H22</f>
        <v>120</v>
      </c>
      <c r="L28" s="20">
        <f t="shared" si="3"/>
        <v>13360.718289335437</v>
      </c>
      <c r="M28" s="21">
        <f t="shared" si="4"/>
        <v>1710.1719410349342</v>
      </c>
      <c r="N28" s="21">
        <f>$H$111</f>
        <v>15070.890230370371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ht="27.75" customHeight="1" x14ac:dyDescent="0.25">
      <c r="A29" s="60">
        <v>0</v>
      </c>
      <c r="B29" s="1"/>
      <c r="C29" s="2"/>
      <c r="D29" s="143"/>
      <c r="E29" s="6"/>
      <c r="F29" s="6"/>
      <c r="G29" s="6"/>
      <c r="H29" s="6"/>
      <c r="I29" s="6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ht="32.25" hidden="1" customHeight="1" outlineLevel="1" x14ac:dyDescent="0.25">
      <c r="A30" s="1"/>
      <c r="B30" s="1"/>
      <c r="C30" s="2"/>
      <c r="D30" s="143"/>
      <c r="E30" s="6"/>
      <c r="F30" s="6"/>
      <c r="G30" s="6"/>
      <c r="H30" s="6"/>
      <c r="I30" s="6"/>
      <c r="J30" s="61" t="s">
        <v>38</v>
      </c>
      <c r="K30" s="1"/>
      <c r="L30" s="11" t="s">
        <v>6</v>
      </c>
      <c r="M30" s="12" t="s">
        <v>7</v>
      </c>
      <c r="N30" s="13" t="s">
        <v>8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ht="32.25" hidden="1" customHeight="1" outlineLevel="1" x14ac:dyDescent="0.25">
      <c r="A31" s="1" t="s">
        <v>39</v>
      </c>
      <c r="B31" s="1"/>
      <c r="C31" s="2"/>
      <c r="D31" s="143"/>
      <c r="E31" s="6"/>
      <c r="F31" s="6"/>
      <c r="G31" s="6"/>
      <c r="H31" s="6"/>
      <c r="I31" s="6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ht="18" hidden="1" customHeight="1" outlineLevel="1" x14ac:dyDescent="0.25">
      <c r="A32" s="1" t="s">
        <v>40</v>
      </c>
      <c r="B32" s="1"/>
      <c r="C32" s="2"/>
      <c r="D32" s="143"/>
      <c r="E32" s="6"/>
      <c r="F32" s="6"/>
      <c r="G32" s="6"/>
      <c r="H32" s="6"/>
      <c r="I32" s="6"/>
      <c r="J32" s="2"/>
      <c r="K32" s="62" t="str">
        <f>IF($K$36="NAVE-AE,SLP, PE 10%,10% 10%",12,IF($K$36="LOTE-AE,SLP, PE 5%,5%",1,IF($K$36="NAVE-GMA E1 10%,10% 10%",4,IF($K$36="NAVE-GMA E2 10%,10% 10%",9,""))))</f>
        <v/>
      </c>
      <c r="L32" s="20" t="e">
        <f t="shared" ref="L32:L33" si="5">IF($L$10=12.8%,(N32/1.128),IF($M$27="",_xludf.AGGREGATE(9,6,M32:N32)))</f>
        <v>#N/A</v>
      </c>
      <c r="M32" s="21" t="e">
        <f t="shared" ref="M32:M33" si="6">IF($L$10=12.8%,N32-(N32/1.128),"")</f>
        <v>#N/A</v>
      </c>
      <c r="N32" s="21" t="e">
        <f>VLOOKUP(K32,SIMULADOR!$E$65:$M$101,4,0)+N39</f>
        <v>#N/A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ht="18" hidden="1" customHeight="1" outlineLevel="1" x14ac:dyDescent="0.25">
      <c r="A33" s="1" t="s">
        <v>41</v>
      </c>
      <c r="B33" s="1"/>
      <c r="C33" s="2"/>
      <c r="D33" s="143"/>
      <c r="E33" s="6"/>
      <c r="F33" s="6"/>
      <c r="G33" s="6"/>
      <c r="H33" s="6"/>
      <c r="I33" s="2"/>
      <c r="J33" s="2"/>
      <c r="K33" s="62" t="str">
        <f>IF($K$36="NAVE-AE,SLP, PE 10%,10% 10%",24,IF($K$36="LOTE-AE,SLP, PE 5%,5%",0,IF($K$36="NAVE-GMA E1 10%,10% 10%",8,IF($K$36="NAVE-GMA E2 10%,10% 10%",14,""))))</f>
        <v/>
      </c>
      <c r="L33" s="20" t="e">
        <f t="shared" si="5"/>
        <v>#N/A</v>
      </c>
      <c r="M33" s="21" t="e">
        <f t="shared" si="6"/>
        <v>#N/A</v>
      </c>
      <c r="N33" s="21" t="e">
        <f>VLOOKUP(K33,SIMULADOR!$E$65:$M$101,4,0)+N40</f>
        <v>#N/A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ht="18" hidden="1" customHeight="1" outlineLevel="1" x14ac:dyDescent="0.25">
      <c r="A34" s="1" t="s">
        <v>42</v>
      </c>
      <c r="B34" s="1"/>
      <c r="C34" s="2"/>
      <c r="D34" s="143"/>
      <c r="E34" s="6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ht="18" hidden="1" customHeight="1" outlineLevel="1" x14ac:dyDescent="0.25">
      <c r="A35" s="1" t="s">
        <v>196</v>
      </c>
      <c r="B35" s="1"/>
      <c r="C35" s="2"/>
      <c r="D35" s="143"/>
      <c r="E35" s="6"/>
      <c r="F35" s="6"/>
      <c r="G35" s="6"/>
      <c r="H35" s="6"/>
      <c r="I35" s="2"/>
      <c r="J35" s="2"/>
      <c r="K35" s="63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ht="18" hidden="1" customHeight="1" outlineLevel="1" x14ac:dyDescent="0.35">
      <c r="A36" s="1"/>
      <c r="B36" s="1"/>
      <c r="C36" s="2"/>
      <c r="D36" s="143"/>
      <c r="E36" s="6"/>
      <c r="F36" s="6"/>
      <c r="G36" s="6"/>
      <c r="H36" s="6"/>
      <c r="I36" s="2"/>
      <c r="J36" s="64" t="s">
        <v>36</v>
      </c>
      <c r="K36" s="232"/>
      <c r="L36" s="11" t="s">
        <v>6</v>
      </c>
      <c r="M36" s="12" t="s">
        <v>7</v>
      </c>
      <c r="N36" s="13" t="s">
        <v>8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ht="18" hidden="1" customHeight="1" outlineLevel="1" x14ac:dyDescent="0.25">
      <c r="A37" s="1"/>
      <c r="B37" s="1"/>
      <c r="C37" s="2"/>
      <c r="D37" s="143"/>
      <c r="E37" s="6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ht="27" hidden="1" customHeight="1" outlineLevel="1" x14ac:dyDescent="0.25">
      <c r="A38" s="1"/>
      <c r="B38" s="1"/>
      <c r="C38" s="2"/>
      <c r="D38" s="143"/>
      <c r="E38" s="6"/>
      <c r="F38" s="6"/>
      <c r="G38" s="6"/>
      <c r="H38" s="6"/>
      <c r="I38" s="2"/>
      <c r="J38" s="65" t="str">
        <f>IF($K$36="NAVE-AE,SLP, PE 10%,10% 10%",10%,IF($K$36="LOTE-AE,SLP, PE 5%,5%",5%,IF($K$36="NAVE-GMA E1 10%,10% 10%",10%,IF($K$36="NAVE-GMA E2 10%,10% 10%",10%,IF($K$36="LOTE-AE,SLP, PE 10%,10%,10%",10%,"")))))</f>
        <v/>
      </c>
      <c r="K38" s="33" t="s">
        <v>43</v>
      </c>
      <c r="L38" s="20" t="e">
        <f>(K16*J38)-K18</f>
        <v>#VALUE!</v>
      </c>
      <c r="M38" s="21" t="e">
        <f t="shared" ref="M38:M40" si="7">IF(OR($L$10=0%,$L$10=""),"",L38*($L$10))</f>
        <v>#VALUE!</v>
      </c>
      <c r="N38" s="21" t="e">
        <f t="shared" ref="N38:N40" si="8">SUM(L38:M38)</f>
        <v>#VALUE!</v>
      </c>
      <c r="O38" s="1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ht="18" hidden="1" customHeight="1" outlineLevel="1" x14ac:dyDescent="0.25">
      <c r="A39" s="1"/>
      <c r="B39" s="1"/>
      <c r="C39" s="2"/>
      <c r="D39" s="143"/>
      <c r="E39" s="6"/>
      <c r="F39" s="6"/>
      <c r="G39" s="6"/>
      <c r="H39" s="2"/>
      <c r="I39" s="2"/>
      <c r="J39" s="65" t="str">
        <f>IF($K$36="NAVE-AE,SLP, PE 10%,10% 10%",10%,IF($K$36="LOTE-AE,SLP, PE 5%,5%",5%,IF($K$36="NAVE-GMA E1 10%,10% 10%",10%,IF($K$36="NAVE-GMA E2 10%,10% 10%",10%,IF($K$36="LOTE-AE,SLP, PE 10%,10%,10%",10%,"")))))</f>
        <v/>
      </c>
      <c r="K39" s="66" t="str">
        <f>IF($K$36="NAVE-AE,SLP, PE 10%,10% 10%",12,IF($K$36="LOTE-AE,SLP, PE 5%,5%",1,IF($K$36="NAVE-GMA E1 10%,10% 10%",4,IF($K$36="NAVE-GMA E2 10%,10% 10%",9,IF($K$36="LOTE-AE,SLP, PE 10%,10%,10%",12,"")))))</f>
        <v/>
      </c>
      <c r="L39" s="20" t="e">
        <f>K16*J39</f>
        <v>#VALUE!</v>
      </c>
      <c r="M39" s="21" t="e">
        <f t="shared" si="7"/>
        <v>#VALUE!</v>
      </c>
      <c r="N39" s="21" t="e">
        <f t="shared" si="8"/>
        <v>#VALUE!</v>
      </c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ht="25.5" hidden="1" customHeight="1" outlineLevel="1" x14ac:dyDescent="0.25">
      <c r="A40" s="1"/>
      <c r="B40" s="1"/>
      <c r="C40" s="2"/>
      <c r="D40" s="143"/>
      <c r="E40" s="6"/>
      <c r="F40" s="6"/>
      <c r="G40" s="6"/>
      <c r="H40" s="2"/>
      <c r="I40" s="2"/>
      <c r="J40" s="65" t="str">
        <f>IF($K$36="NAVE-AE,SLP, PE 10%,10% 10%",10%,IF($K$36="LOTE-AE,SLP, PE 5%,5%",0%,IF($K$36="NAVE-GMA E1 10%,10% 10%",10%,IF($K$36="NAVE-GMA E2 10%,10% 10%",10%,IF($K$36="LOTE-AE,SLP, PE 10%,10%,10%",10%,"")))))</f>
        <v/>
      </c>
      <c r="K40" s="66" t="str">
        <f>IF($K$36="NAVE-AE,SLP, PE 10%,10% 10%",24,IF($K$36="LOTE-AE,SLP, PE 5%,5%",0,IF($K$36="NAVE-GMA E1 10%,10% 10%",8,IF($K$36="NAVE-GMA E2 10%,10% 10%",14,IF($K$36="LOTE-AE,SLP, PE 10%,10%,10%",24,"")))))</f>
        <v/>
      </c>
      <c r="L40" s="20" t="e">
        <f>K16*J40</f>
        <v>#VALUE!</v>
      </c>
      <c r="M40" s="21" t="e">
        <f t="shared" si="7"/>
        <v>#VALUE!</v>
      </c>
      <c r="N40" s="21" t="e">
        <f t="shared" si="8"/>
        <v>#VALUE!</v>
      </c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ht="18" customHeight="1" collapsed="1" x14ac:dyDescent="0.25">
      <c r="A41" s="1"/>
      <c r="B41" s="1"/>
      <c r="C41" s="2"/>
      <c r="D41" s="143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ht="18" customHeight="1" x14ac:dyDescent="0.25">
      <c r="A42" s="1"/>
      <c r="B42" s="1"/>
      <c r="C42" s="2"/>
      <c r="D42" s="143"/>
      <c r="E42" s="67" t="s">
        <v>44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ht="18" customHeight="1" x14ac:dyDescent="0.3">
      <c r="A43" s="1"/>
      <c r="B43" s="1"/>
      <c r="C43" s="2"/>
      <c r="D43" s="143"/>
      <c r="E43" s="68" t="s">
        <v>45</v>
      </c>
      <c r="F43" s="2"/>
      <c r="G43" s="68" t="s">
        <v>46</v>
      </c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ht="18" customHeight="1" x14ac:dyDescent="0.25">
      <c r="A44" s="1"/>
      <c r="B44" s="1"/>
      <c r="C44" s="2"/>
      <c r="D44" s="143"/>
      <c r="E44" s="2" t="s">
        <v>47</v>
      </c>
      <c r="F44" s="2"/>
      <c r="G44" s="2" t="s">
        <v>48</v>
      </c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ht="18" customHeight="1" x14ac:dyDescent="0.25">
      <c r="A45" s="1"/>
      <c r="B45" s="1"/>
      <c r="C45" s="2"/>
      <c r="D45" s="143"/>
      <c r="E45" s="2" t="s">
        <v>49</v>
      </c>
      <c r="F45" s="8"/>
      <c r="G45" s="2" t="s">
        <v>50</v>
      </c>
      <c r="H45" s="2"/>
      <c r="I45" s="2"/>
      <c r="J45" s="69"/>
      <c r="K45" s="2"/>
      <c r="L45" s="2"/>
      <c r="M45" s="16"/>
      <c r="N45" s="16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ht="18" customHeight="1" x14ac:dyDescent="0.25">
      <c r="A46" s="1"/>
      <c r="B46" s="1"/>
      <c r="C46" s="2"/>
      <c r="D46" s="143"/>
      <c r="E46" s="2" t="s">
        <v>51</v>
      </c>
      <c r="F46" s="8"/>
      <c r="G46" s="2" t="s">
        <v>52</v>
      </c>
      <c r="H46" s="2"/>
      <c r="I46" s="2"/>
      <c r="J46" s="69"/>
      <c r="K46" s="2"/>
      <c r="L46" s="2"/>
      <c r="M46" s="16"/>
      <c r="N46" s="16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ht="18" customHeight="1" x14ac:dyDescent="0.25">
      <c r="A47" s="1"/>
      <c r="B47" s="1"/>
      <c r="C47" s="2"/>
      <c r="D47" s="143"/>
      <c r="E47" s="2" t="s">
        <v>53</v>
      </c>
      <c r="F47" s="8"/>
      <c r="G47" s="2" t="s">
        <v>54</v>
      </c>
      <c r="H47" s="2"/>
      <c r="I47" s="2"/>
      <c r="J47" s="69"/>
      <c r="K47" s="2"/>
      <c r="L47" s="2"/>
      <c r="M47" s="16"/>
      <c r="N47" s="16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ht="18" customHeight="1" x14ac:dyDescent="0.25">
      <c r="A48" s="1"/>
      <c r="B48" s="1"/>
      <c r="C48" s="2"/>
      <c r="D48" s="143"/>
      <c r="E48" s="2"/>
      <c r="F48" s="8"/>
      <c r="G48" s="2" t="s">
        <v>55</v>
      </c>
      <c r="H48" s="2"/>
      <c r="I48" s="2"/>
      <c r="J48" s="69"/>
      <c r="K48" s="2"/>
      <c r="L48" s="2"/>
      <c r="M48" s="16"/>
      <c r="N48" s="16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ht="18" customHeight="1" x14ac:dyDescent="0.25">
      <c r="A49" s="1"/>
      <c r="B49" s="1"/>
      <c r="C49" s="2"/>
      <c r="D49" s="143"/>
      <c r="E49" s="2"/>
      <c r="F49" s="8"/>
      <c r="G49" s="2"/>
      <c r="H49" s="2"/>
      <c r="I49" s="2"/>
      <c r="J49" s="69"/>
      <c r="K49" s="7" t="s">
        <v>56</v>
      </c>
      <c r="L49" s="242"/>
      <c r="M49" s="243"/>
      <c r="N49" s="244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ht="18" customHeight="1" x14ac:dyDescent="0.25">
      <c r="A50" s="1"/>
      <c r="B50" s="1"/>
      <c r="C50" s="2"/>
      <c r="D50" s="143"/>
      <c r="E50" s="233" t="s">
        <v>57</v>
      </c>
      <c r="F50" s="234"/>
      <c r="G50" s="234"/>
      <c r="H50" s="234"/>
      <c r="I50" s="234"/>
      <c r="J50" s="234"/>
      <c r="K50" s="235"/>
      <c r="L50" s="242"/>
      <c r="M50" s="243"/>
      <c r="N50" s="244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ht="18" customHeight="1" x14ac:dyDescent="0.25">
      <c r="A51" s="1"/>
      <c r="B51" s="1"/>
      <c r="C51" s="2"/>
      <c r="D51" s="143"/>
      <c r="E51" s="245" t="s">
        <v>58</v>
      </c>
      <c r="F51" s="234"/>
      <c r="G51" s="234"/>
      <c r="H51" s="234"/>
      <c r="I51" s="234"/>
      <c r="J51" s="234"/>
      <c r="K51" s="234"/>
      <c r="L51" s="234"/>
      <c r="M51" s="234"/>
      <c r="N51" s="235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ht="26.25" hidden="1" customHeight="1" outlineLevel="1" x14ac:dyDescent="0.25">
      <c r="A52" s="1"/>
      <c r="B52" s="1"/>
      <c r="C52" s="2"/>
      <c r="D52" s="143"/>
      <c r="E52" s="246" t="s">
        <v>59</v>
      </c>
      <c r="F52" s="234"/>
      <c r="G52" s="234"/>
      <c r="H52" s="234"/>
      <c r="I52" s="234"/>
      <c r="J52" s="234"/>
      <c r="K52" s="234"/>
      <c r="L52" s="234"/>
      <c r="M52" s="234"/>
      <c r="N52" s="235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ht="18" hidden="1" customHeight="1" outlineLevel="1" x14ac:dyDescent="0.3">
      <c r="A53" s="1"/>
      <c r="B53" s="1"/>
      <c r="C53" s="2"/>
      <c r="D53" s="143"/>
      <c r="E53" s="70"/>
      <c r="F53" s="70"/>
      <c r="G53" s="71"/>
      <c r="H53" s="71"/>
      <c r="I53" s="71"/>
      <c r="J53" s="72"/>
      <c r="K53" s="72"/>
      <c r="L53" s="72"/>
      <c r="M53" s="72"/>
      <c r="N53" s="7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ht="18" hidden="1" customHeight="1" outlineLevel="1" x14ac:dyDescent="0.3">
      <c r="A54" s="1"/>
      <c r="B54" s="1"/>
      <c r="C54" s="2"/>
      <c r="D54" s="143"/>
      <c r="E54" s="73"/>
      <c r="F54" s="73"/>
      <c r="G54" s="74"/>
      <c r="H54" s="74"/>
      <c r="I54" s="71"/>
      <c r="J54" s="72"/>
      <c r="K54" s="72"/>
      <c r="L54" s="72"/>
      <c r="M54" s="72"/>
      <c r="N54" s="7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ht="18" hidden="1" customHeight="1" outlineLevel="1" x14ac:dyDescent="0.3">
      <c r="A55" s="1"/>
      <c r="B55" s="1"/>
      <c r="C55" s="2"/>
      <c r="D55" s="143"/>
      <c r="E55" s="73"/>
      <c r="F55" s="73"/>
      <c r="G55" s="75" t="s">
        <v>60</v>
      </c>
      <c r="H55" s="76">
        <f>$M$16</f>
        <v>1246440</v>
      </c>
      <c r="I55" s="71"/>
      <c r="J55" s="72"/>
      <c r="K55" s="72"/>
      <c r="L55" s="72"/>
      <c r="M55" s="72"/>
      <c r="N55" s="7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4"/>
      <c r="AA55" s="2"/>
      <c r="AB55" s="2"/>
      <c r="AC55" s="2"/>
      <c r="AD55" s="2"/>
      <c r="AE55" s="2"/>
      <c r="AF55" s="2"/>
      <c r="AG55" s="2"/>
      <c r="AH55" s="2"/>
    </row>
    <row r="56" spans="1:34" ht="18" hidden="1" customHeight="1" outlineLevel="1" x14ac:dyDescent="0.3">
      <c r="A56" s="1"/>
      <c r="B56" s="1"/>
      <c r="C56" s="2"/>
      <c r="D56" s="143"/>
      <c r="E56" s="73"/>
      <c r="F56" s="73"/>
      <c r="G56" s="75" t="s">
        <v>61</v>
      </c>
      <c r="H56" s="76">
        <f>$M$17+$M$19</f>
        <v>373932</v>
      </c>
      <c r="I56" s="71"/>
      <c r="J56" s="72"/>
      <c r="K56" s="72"/>
      <c r="L56" s="72"/>
      <c r="M56" s="72"/>
      <c r="N56" s="7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4"/>
      <c r="AA56" s="2"/>
      <c r="AB56" s="2"/>
      <c r="AC56" s="2"/>
      <c r="AD56" s="2"/>
      <c r="AE56" s="2"/>
      <c r="AF56" s="2"/>
      <c r="AG56" s="2"/>
      <c r="AH56" s="2"/>
    </row>
    <row r="57" spans="1:34" ht="18" hidden="1" customHeight="1" outlineLevel="1" x14ac:dyDescent="0.3">
      <c r="A57" s="1"/>
      <c r="B57" s="1"/>
      <c r="C57" s="2"/>
      <c r="D57" s="143"/>
      <c r="E57" s="73"/>
      <c r="F57" s="73"/>
      <c r="G57" s="75" t="s">
        <v>62</v>
      </c>
      <c r="H57" s="77">
        <f>H55-H56</f>
        <v>872508</v>
      </c>
      <c r="I57" s="71"/>
      <c r="J57" s="72"/>
      <c r="K57" s="72"/>
      <c r="L57" s="72"/>
      <c r="M57" s="72"/>
      <c r="N57" s="7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ht="18" hidden="1" customHeight="1" outlineLevel="1" x14ac:dyDescent="0.3">
      <c r="A58" s="1"/>
      <c r="B58" s="1"/>
      <c r="C58" s="2"/>
      <c r="D58" s="143"/>
      <c r="E58" s="73"/>
      <c r="F58" s="73"/>
      <c r="G58" s="75" t="s">
        <v>63</v>
      </c>
      <c r="H58" s="78">
        <f>$G$22</f>
        <v>10</v>
      </c>
      <c r="I58" s="71"/>
      <c r="J58" s="72"/>
      <c r="K58" s="72"/>
      <c r="L58" s="72"/>
      <c r="M58" s="72"/>
      <c r="N58" s="7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ht="18" hidden="1" customHeight="1" outlineLevel="1" x14ac:dyDescent="0.3">
      <c r="A59" s="1"/>
      <c r="B59" s="1"/>
      <c r="C59" s="2"/>
      <c r="D59" s="143"/>
      <c r="E59" s="73"/>
      <c r="F59" s="73"/>
      <c r="G59" s="75" t="s">
        <v>64</v>
      </c>
      <c r="H59" s="79">
        <f>H58*12</f>
        <v>120</v>
      </c>
      <c r="I59" s="71"/>
      <c r="J59" s="72"/>
      <c r="K59" s="72"/>
      <c r="L59" s="72"/>
      <c r="M59" s="72"/>
      <c r="N59" s="7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ht="18" hidden="1" customHeight="1" outlineLevel="1" x14ac:dyDescent="0.3">
      <c r="A60" s="1"/>
      <c r="B60" s="1"/>
      <c r="C60" s="2"/>
      <c r="D60" s="143"/>
      <c r="E60" s="73"/>
      <c r="F60" s="73"/>
      <c r="G60" s="75" t="s">
        <v>65</v>
      </c>
      <c r="H60" s="80">
        <f>H61/12</f>
        <v>3</v>
      </c>
      <c r="I60" s="71"/>
      <c r="J60" s="72"/>
      <c r="K60" s="72"/>
      <c r="L60" s="72"/>
      <c r="M60" s="72"/>
      <c r="N60" s="7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ht="18" hidden="1" customHeight="1" outlineLevel="1" x14ac:dyDescent="0.3">
      <c r="A61" s="1"/>
      <c r="B61" s="1"/>
      <c r="C61" s="2"/>
      <c r="D61" s="143"/>
      <c r="E61" s="73"/>
      <c r="F61" s="73"/>
      <c r="G61" s="75" t="s">
        <v>66</v>
      </c>
      <c r="H61" s="81">
        <f>$G$23</f>
        <v>36</v>
      </c>
      <c r="I61" s="71"/>
      <c r="J61" s="72"/>
      <c r="K61" s="72"/>
      <c r="L61" s="72"/>
      <c r="M61" s="72"/>
      <c r="N61" s="7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ht="18" hidden="1" customHeight="1" outlineLevel="1" x14ac:dyDescent="0.3">
      <c r="A62" s="1"/>
      <c r="B62" s="1"/>
      <c r="C62" s="2"/>
      <c r="D62" s="143"/>
      <c r="E62" s="73"/>
      <c r="F62" s="73"/>
      <c r="G62" s="75" t="s">
        <v>67</v>
      </c>
      <c r="H62" s="82">
        <f>$H$23</f>
        <v>0</v>
      </c>
      <c r="I62" s="71"/>
      <c r="J62" s="72"/>
      <c r="K62" s="72"/>
      <c r="L62" s="72"/>
      <c r="M62" s="72"/>
      <c r="N62" s="7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ht="18" hidden="1" customHeight="1" outlineLevel="1" x14ac:dyDescent="0.3">
      <c r="A63" s="1"/>
      <c r="B63" s="1"/>
      <c r="C63" s="2"/>
      <c r="D63" s="143"/>
      <c r="E63" s="73"/>
      <c r="F63" s="73"/>
      <c r="G63" s="75" t="s">
        <v>68</v>
      </c>
      <c r="H63" s="83">
        <f>-PMT(H62,H59,H57)</f>
        <v>7270.9</v>
      </c>
      <c r="I63" s="71"/>
      <c r="J63" s="72"/>
      <c r="K63" s="72"/>
      <c r="L63" s="72"/>
      <c r="M63" s="72"/>
      <c r="N63" s="7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ht="18" hidden="1" customHeight="1" outlineLevel="1" x14ac:dyDescent="0.3">
      <c r="A64" s="1"/>
      <c r="B64" s="1"/>
      <c r="C64" s="2"/>
      <c r="D64" s="143"/>
      <c r="E64" s="73"/>
      <c r="F64" s="73"/>
      <c r="G64" s="74"/>
      <c r="H64" s="83">
        <f>H63*H61</f>
        <v>261752.4</v>
      </c>
      <c r="I64" s="71"/>
      <c r="J64" s="72"/>
      <c r="K64" s="72"/>
      <c r="L64" s="72"/>
      <c r="M64" s="72"/>
      <c r="N64" s="7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ht="36" customHeight="1" collapsed="1" x14ac:dyDescent="0.3">
      <c r="A65" s="84"/>
      <c r="B65" s="84"/>
      <c r="C65" s="85"/>
      <c r="D65" s="144"/>
      <c r="E65" s="86" t="s">
        <v>69</v>
      </c>
      <c r="F65" s="86" t="s">
        <v>70</v>
      </c>
      <c r="G65" s="86" t="s">
        <v>71</v>
      </c>
      <c r="H65" s="86" t="s">
        <v>72</v>
      </c>
      <c r="I65" s="86" t="s">
        <v>73</v>
      </c>
      <c r="J65" s="86" t="s">
        <v>74</v>
      </c>
      <c r="K65" s="86" t="s">
        <v>75</v>
      </c>
      <c r="L65" s="86" t="s">
        <v>76</v>
      </c>
      <c r="M65" s="87" t="s">
        <v>77</v>
      </c>
      <c r="N65" s="72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</row>
    <row r="66" spans="1:34" ht="18" customHeight="1" x14ac:dyDescent="0.3">
      <c r="A66" s="1"/>
      <c r="B66" s="1"/>
      <c r="C66" s="2"/>
      <c r="D66" s="143"/>
      <c r="E66" s="88">
        <v>1</v>
      </c>
      <c r="F66" s="147">
        <v>44713</v>
      </c>
      <c r="G66" s="89">
        <f>$H$57</f>
        <v>872508</v>
      </c>
      <c r="H66" s="89">
        <f t="shared" ref="H66:H101" si="9">IF(E66&lt;49,(-PMT($H$62,$H$59,$H$57)))</f>
        <v>7270.9</v>
      </c>
      <c r="I66" s="89"/>
      <c r="J66" s="89">
        <f t="shared" ref="J66:J101" si="10">SUM(H66:I66)</f>
        <v>7270.9</v>
      </c>
      <c r="K66" s="89">
        <f t="shared" ref="K66:K101" si="11">IF(E66&lt;=48,(G66*$H$62),0)</f>
        <v>0</v>
      </c>
      <c r="L66" s="89">
        <f t="shared" ref="L66:L101" si="12">H66-K66</f>
        <v>7270.9</v>
      </c>
      <c r="M66" s="89">
        <f t="shared" ref="M66:M101" si="13">G66-L66</f>
        <v>865237.1</v>
      </c>
      <c r="N66" s="7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ht="18" customHeight="1" x14ac:dyDescent="0.3">
      <c r="A67" s="1"/>
      <c r="B67" s="1"/>
      <c r="C67" s="2"/>
      <c r="D67" s="143"/>
      <c r="E67" s="88">
        <f t="shared" ref="E67:E101" si="14">IF(E66&lt;$G$23,E66+1,"")</f>
        <v>2</v>
      </c>
      <c r="F67" s="90">
        <f t="shared" ref="F67:F101" si="15">IF(E66&lt;$G$23,DATE(YEAR(F66),MONTH(F66)+1,DAY(F66)),"")</f>
        <v>44743</v>
      </c>
      <c r="G67" s="89">
        <f t="shared" ref="G67:G101" si="16">IF(E67&lt;=$G$23,(SUM(M66)))</f>
        <v>865237.1</v>
      </c>
      <c r="H67" s="89">
        <f t="shared" si="9"/>
        <v>7270.9</v>
      </c>
      <c r="I67" s="89"/>
      <c r="J67" s="89">
        <f t="shared" si="10"/>
        <v>7270.9</v>
      </c>
      <c r="K67" s="89">
        <f t="shared" si="11"/>
        <v>0</v>
      </c>
      <c r="L67" s="89">
        <f t="shared" si="12"/>
        <v>7270.9</v>
      </c>
      <c r="M67" s="89">
        <f t="shared" si="13"/>
        <v>857966.2</v>
      </c>
      <c r="N67" s="7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ht="18" customHeight="1" x14ac:dyDescent="0.3">
      <c r="A68" s="1"/>
      <c r="B68" s="1"/>
      <c r="C68" s="2"/>
      <c r="D68" s="143"/>
      <c r="E68" s="88">
        <f t="shared" si="14"/>
        <v>3</v>
      </c>
      <c r="F68" s="90">
        <f t="shared" si="15"/>
        <v>44774</v>
      </c>
      <c r="G68" s="89">
        <f t="shared" si="16"/>
        <v>857966.2</v>
      </c>
      <c r="H68" s="89">
        <f t="shared" si="9"/>
        <v>7270.9</v>
      </c>
      <c r="I68" s="89"/>
      <c r="J68" s="89">
        <f t="shared" si="10"/>
        <v>7270.9</v>
      </c>
      <c r="K68" s="89">
        <f t="shared" si="11"/>
        <v>0</v>
      </c>
      <c r="L68" s="89">
        <f t="shared" si="12"/>
        <v>7270.9</v>
      </c>
      <c r="M68" s="89">
        <f t="shared" si="13"/>
        <v>850695.29999999993</v>
      </c>
      <c r="N68" s="7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ht="18" customHeight="1" x14ac:dyDescent="0.3">
      <c r="A69" s="1"/>
      <c r="B69" s="1"/>
      <c r="C69" s="2"/>
      <c r="D69" s="143"/>
      <c r="E69" s="88">
        <f t="shared" si="14"/>
        <v>4</v>
      </c>
      <c r="F69" s="90">
        <f t="shared" si="15"/>
        <v>44805</v>
      </c>
      <c r="G69" s="89">
        <f t="shared" si="16"/>
        <v>850695.29999999993</v>
      </c>
      <c r="H69" s="89">
        <f t="shared" si="9"/>
        <v>7270.9</v>
      </c>
      <c r="I69" s="89"/>
      <c r="J69" s="89">
        <f t="shared" si="10"/>
        <v>7270.9</v>
      </c>
      <c r="K69" s="89">
        <f t="shared" si="11"/>
        <v>0</v>
      </c>
      <c r="L69" s="89">
        <f t="shared" si="12"/>
        <v>7270.9</v>
      </c>
      <c r="M69" s="89">
        <f t="shared" si="13"/>
        <v>843424.39999999991</v>
      </c>
      <c r="N69" s="7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ht="18" customHeight="1" x14ac:dyDescent="0.3">
      <c r="A70" s="1"/>
      <c r="B70" s="1"/>
      <c r="C70" s="2"/>
      <c r="D70" s="143"/>
      <c r="E70" s="88">
        <f t="shared" si="14"/>
        <v>5</v>
      </c>
      <c r="F70" s="90">
        <f t="shared" si="15"/>
        <v>44835</v>
      </c>
      <c r="G70" s="89">
        <f t="shared" si="16"/>
        <v>843424.39999999991</v>
      </c>
      <c r="H70" s="89">
        <f t="shared" si="9"/>
        <v>7270.9</v>
      </c>
      <c r="I70" s="89"/>
      <c r="J70" s="89">
        <f t="shared" si="10"/>
        <v>7270.9</v>
      </c>
      <c r="K70" s="89">
        <f t="shared" si="11"/>
        <v>0</v>
      </c>
      <c r="L70" s="89">
        <f t="shared" si="12"/>
        <v>7270.9</v>
      </c>
      <c r="M70" s="89">
        <f t="shared" si="13"/>
        <v>836153.49999999988</v>
      </c>
      <c r="N70" s="7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ht="18" customHeight="1" x14ac:dyDescent="0.3">
      <c r="A71" s="1"/>
      <c r="B71" s="1"/>
      <c r="C71" s="2"/>
      <c r="D71" s="143"/>
      <c r="E71" s="88">
        <f t="shared" si="14"/>
        <v>6</v>
      </c>
      <c r="F71" s="90">
        <f t="shared" si="15"/>
        <v>44866</v>
      </c>
      <c r="G71" s="89">
        <f t="shared" si="16"/>
        <v>836153.49999999988</v>
      </c>
      <c r="H71" s="89">
        <f t="shared" si="9"/>
        <v>7270.9</v>
      </c>
      <c r="I71" s="89"/>
      <c r="J71" s="89">
        <f t="shared" si="10"/>
        <v>7270.9</v>
      </c>
      <c r="K71" s="89">
        <f t="shared" si="11"/>
        <v>0</v>
      </c>
      <c r="L71" s="89">
        <f t="shared" si="12"/>
        <v>7270.9</v>
      </c>
      <c r="M71" s="89">
        <f t="shared" si="13"/>
        <v>828882.59999999986</v>
      </c>
      <c r="N71" s="7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ht="18" customHeight="1" x14ac:dyDescent="0.3">
      <c r="A72" s="1"/>
      <c r="B72" s="1"/>
      <c r="C72" s="2"/>
      <c r="D72" s="143"/>
      <c r="E72" s="88">
        <f t="shared" si="14"/>
        <v>7</v>
      </c>
      <c r="F72" s="90">
        <f t="shared" si="15"/>
        <v>44896</v>
      </c>
      <c r="G72" s="89">
        <f t="shared" si="16"/>
        <v>828882.59999999986</v>
      </c>
      <c r="H72" s="89">
        <f t="shared" si="9"/>
        <v>7270.9</v>
      </c>
      <c r="I72" s="89"/>
      <c r="J72" s="89">
        <f t="shared" si="10"/>
        <v>7270.9</v>
      </c>
      <c r="K72" s="89">
        <f t="shared" si="11"/>
        <v>0</v>
      </c>
      <c r="L72" s="89">
        <f t="shared" si="12"/>
        <v>7270.9</v>
      </c>
      <c r="M72" s="89">
        <f t="shared" si="13"/>
        <v>821611.69999999984</v>
      </c>
      <c r="N72" s="7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ht="18" customHeight="1" x14ac:dyDescent="0.3">
      <c r="A73" s="1"/>
      <c r="B73" s="1"/>
      <c r="C73" s="2"/>
      <c r="D73" s="143"/>
      <c r="E73" s="88">
        <f t="shared" si="14"/>
        <v>8</v>
      </c>
      <c r="F73" s="90">
        <f t="shared" si="15"/>
        <v>44927</v>
      </c>
      <c r="G73" s="89">
        <f t="shared" si="16"/>
        <v>821611.69999999984</v>
      </c>
      <c r="H73" s="89">
        <f t="shared" si="9"/>
        <v>7270.9</v>
      </c>
      <c r="I73" s="89"/>
      <c r="J73" s="89">
        <f t="shared" si="10"/>
        <v>7270.9</v>
      </c>
      <c r="K73" s="89">
        <f t="shared" si="11"/>
        <v>0</v>
      </c>
      <c r="L73" s="89">
        <f t="shared" si="12"/>
        <v>7270.9</v>
      </c>
      <c r="M73" s="89">
        <f t="shared" si="13"/>
        <v>814340.79999999981</v>
      </c>
      <c r="N73" s="7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ht="18" customHeight="1" x14ac:dyDescent="0.3">
      <c r="A74" s="1"/>
      <c r="B74" s="1"/>
      <c r="C74" s="2"/>
      <c r="D74" s="143"/>
      <c r="E74" s="88">
        <f t="shared" si="14"/>
        <v>9</v>
      </c>
      <c r="F74" s="90">
        <f t="shared" si="15"/>
        <v>44958</v>
      </c>
      <c r="G74" s="89">
        <f t="shared" si="16"/>
        <v>814340.79999999981</v>
      </c>
      <c r="H74" s="89">
        <f t="shared" si="9"/>
        <v>7270.9</v>
      </c>
      <c r="I74" s="89"/>
      <c r="J74" s="89">
        <f t="shared" si="10"/>
        <v>7270.9</v>
      </c>
      <c r="K74" s="89">
        <f t="shared" si="11"/>
        <v>0</v>
      </c>
      <c r="L74" s="89">
        <f t="shared" si="12"/>
        <v>7270.9</v>
      </c>
      <c r="M74" s="89">
        <f t="shared" si="13"/>
        <v>807069.89999999979</v>
      </c>
      <c r="N74" s="7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ht="18" customHeight="1" x14ac:dyDescent="0.3">
      <c r="A75" s="1"/>
      <c r="B75" s="1"/>
      <c r="C75" s="2"/>
      <c r="D75" s="143"/>
      <c r="E75" s="88">
        <f t="shared" si="14"/>
        <v>10</v>
      </c>
      <c r="F75" s="90">
        <f t="shared" si="15"/>
        <v>44986</v>
      </c>
      <c r="G75" s="89">
        <f t="shared" si="16"/>
        <v>807069.89999999979</v>
      </c>
      <c r="H75" s="89">
        <f t="shared" si="9"/>
        <v>7270.9</v>
      </c>
      <c r="I75" s="89"/>
      <c r="J75" s="89">
        <f t="shared" si="10"/>
        <v>7270.9</v>
      </c>
      <c r="K75" s="89">
        <f t="shared" si="11"/>
        <v>0</v>
      </c>
      <c r="L75" s="89">
        <f t="shared" si="12"/>
        <v>7270.9</v>
      </c>
      <c r="M75" s="89">
        <f t="shared" si="13"/>
        <v>799798.99999999977</v>
      </c>
      <c r="N75" s="7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ht="18" customHeight="1" x14ac:dyDescent="0.3">
      <c r="A76" s="1"/>
      <c r="B76" s="1"/>
      <c r="C76" s="2"/>
      <c r="D76" s="143"/>
      <c r="E76" s="88">
        <f t="shared" si="14"/>
        <v>11</v>
      </c>
      <c r="F76" s="90">
        <f t="shared" si="15"/>
        <v>45017</v>
      </c>
      <c r="G76" s="89">
        <f t="shared" si="16"/>
        <v>799798.99999999977</v>
      </c>
      <c r="H76" s="89">
        <f t="shared" si="9"/>
        <v>7270.9</v>
      </c>
      <c r="I76" s="89"/>
      <c r="J76" s="89">
        <f t="shared" si="10"/>
        <v>7270.9</v>
      </c>
      <c r="K76" s="89">
        <f t="shared" si="11"/>
        <v>0</v>
      </c>
      <c r="L76" s="89">
        <f t="shared" si="12"/>
        <v>7270.9</v>
      </c>
      <c r="M76" s="89">
        <f t="shared" si="13"/>
        <v>792528.09999999974</v>
      </c>
      <c r="N76" s="7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ht="18" customHeight="1" x14ac:dyDescent="0.3">
      <c r="A77" s="1"/>
      <c r="B77" s="1"/>
      <c r="C77" s="2"/>
      <c r="D77" s="143"/>
      <c r="E77" s="88">
        <f t="shared" si="14"/>
        <v>12</v>
      </c>
      <c r="F77" s="90">
        <f t="shared" si="15"/>
        <v>45047</v>
      </c>
      <c r="G77" s="89">
        <f t="shared" si="16"/>
        <v>792528.09999999974</v>
      </c>
      <c r="H77" s="89">
        <f t="shared" si="9"/>
        <v>7270.9</v>
      </c>
      <c r="I77" s="89"/>
      <c r="J77" s="89">
        <f t="shared" si="10"/>
        <v>7270.9</v>
      </c>
      <c r="K77" s="89">
        <f t="shared" si="11"/>
        <v>0</v>
      </c>
      <c r="L77" s="89">
        <f t="shared" si="12"/>
        <v>7270.9</v>
      </c>
      <c r="M77" s="89">
        <f t="shared" si="13"/>
        <v>785257.19999999972</v>
      </c>
      <c r="N77" s="7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ht="18" customHeight="1" x14ac:dyDescent="0.3">
      <c r="A78" s="1"/>
      <c r="B78" s="1"/>
      <c r="C78" s="2"/>
      <c r="D78" s="143"/>
      <c r="E78" s="88">
        <f t="shared" si="14"/>
        <v>13</v>
      </c>
      <c r="F78" s="90">
        <f t="shared" si="15"/>
        <v>45078</v>
      </c>
      <c r="G78" s="89">
        <f t="shared" si="16"/>
        <v>785257.19999999972</v>
      </c>
      <c r="H78" s="89">
        <f t="shared" si="9"/>
        <v>7270.9</v>
      </c>
      <c r="I78" s="89"/>
      <c r="J78" s="89">
        <f t="shared" si="10"/>
        <v>7270.9</v>
      </c>
      <c r="K78" s="89">
        <f t="shared" si="11"/>
        <v>0</v>
      </c>
      <c r="L78" s="89">
        <f t="shared" si="12"/>
        <v>7270.9</v>
      </c>
      <c r="M78" s="89">
        <f t="shared" si="13"/>
        <v>777986.2999999997</v>
      </c>
      <c r="N78" s="7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ht="18" customHeight="1" x14ac:dyDescent="0.3">
      <c r="A79" s="1"/>
      <c r="B79" s="1"/>
      <c r="C79" s="2"/>
      <c r="D79" s="143"/>
      <c r="E79" s="88">
        <f t="shared" si="14"/>
        <v>14</v>
      </c>
      <c r="F79" s="90">
        <f t="shared" si="15"/>
        <v>45108</v>
      </c>
      <c r="G79" s="89">
        <f t="shared" si="16"/>
        <v>777986.2999999997</v>
      </c>
      <c r="H79" s="89">
        <f t="shared" si="9"/>
        <v>7270.9</v>
      </c>
      <c r="I79" s="89"/>
      <c r="J79" s="89">
        <f t="shared" si="10"/>
        <v>7270.9</v>
      </c>
      <c r="K79" s="89">
        <f t="shared" si="11"/>
        <v>0</v>
      </c>
      <c r="L79" s="89">
        <f t="shared" si="12"/>
        <v>7270.9</v>
      </c>
      <c r="M79" s="89">
        <f t="shared" si="13"/>
        <v>770715.39999999967</v>
      </c>
      <c r="N79" s="7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ht="18" customHeight="1" x14ac:dyDescent="0.3">
      <c r="A80" s="1"/>
      <c r="B80" s="1"/>
      <c r="C80" s="2"/>
      <c r="D80" s="143"/>
      <c r="E80" s="88">
        <f t="shared" si="14"/>
        <v>15</v>
      </c>
      <c r="F80" s="90">
        <f t="shared" si="15"/>
        <v>45139</v>
      </c>
      <c r="G80" s="89">
        <f t="shared" si="16"/>
        <v>770715.39999999967</v>
      </c>
      <c r="H80" s="89">
        <f t="shared" si="9"/>
        <v>7270.9</v>
      </c>
      <c r="I80" s="89"/>
      <c r="J80" s="89">
        <f t="shared" si="10"/>
        <v>7270.9</v>
      </c>
      <c r="K80" s="89">
        <f t="shared" si="11"/>
        <v>0</v>
      </c>
      <c r="L80" s="89">
        <f t="shared" si="12"/>
        <v>7270.9</v>
      </c>
      <c r="M80" s="89">
        <f t="shared" si="13"/>
        <v>763444.49999999965</v>
      </c>
      <c r="N80" s="7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ht="18" customHeight="1" x14ac:dyDescent="0.3">
      <c r="A81" s="1"/>
      <c r="B81" s="1"/>
      <c r="C81" s="2"/>
      <c r="D81" s="143"/>
      <c r="E81" s="88">
        <f t="shared" si="14"/>
        <v>16</v>
      </c>
      <c r="F81" s="90">
        <f t="shared" si="15"/>
        <v>45170</v>
      </c>
      <c r="G81" s="89">
        <f t="shared" si="16"/>
        <v>763444.49999999965</v>
      </c>
      <c r="H81" s="89">
        <f t="shared" si="9"/>
        <v>7270.9</v>
      </c>
      <c r="I81" s="89"/>
      <c r="J81" s="89">
        <f t="shared" si="10"/>
        <v>7270.9</v>
      </c>
      <c r="K81" s="89">
        <f t="shared" si="11"/>
        <v>0</v>
      </c>
      <c r="L81" s="89">
        <f t="shared" si="12"/>
        <v>7270.9</v>
      </c>
      <c r="M81" s="89">
        <f t="shared" si="13"/>
        <v>756173.59999999963</v>
      </c>
      <c r="N81" s="7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ht="18" customHeight="1" x14ac:dyDescent="0.3">
      <c r="A82" s="1"/>
      <c r="B82" s="1"/>
      <c r="C82" s="2"/>
      <c r="D82" s="143"/>
      <c r="E82" s="88">
        <f t="shared" si="14"/>
        <v>17</v>
      </c>
      <c r="F82" s="90">
        <f t="shared" si="15"/>
        <v>45200</v>
      </c>
      <c r="G82" s="89">
        <f t="shared" si="16"/>
        <v>756173.59999999963</v>
      </c>
      <c r="H82" s="89">
        <f t="shared" si="9"/>
        <v>7270.9</v>
      </c>
      <c r="I82" s="89"/>
      <c r="J82" s="89">
        <f t="shared" si="10"/>
        <v>7270.9</v>
      </c>
      <c r="K82" s="89">
        <f t="shared" si="11"/>
        <v>0</v>
      </c>
      <c r="L82" s="89">
        <f t="shared" si="12"/>
        <v>7270.9</v>
      </c>
      <c r="M82" s="89">
        <f t="shared" si="13"/>
        <v>748902.6999999996</v>
      </c>
      <c r="N82" s="7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ht="18" customHeight="1" x14ac:dyDescent="0.3">
      <c r="A83" s="1"/>
      <c r="B83" s="1"/>
      <c r="C83" s="236"/>
      <c r="D83" s="145"/>
      <c r="E83" s="88">
        <f t="shared" si="14"/>
        <v>18</v>
      </c>
      <c r="F83" s="90">
        <f t="shared" si="15"/>
        <v>45231</v>
      </c>
      <c r="G83" s="89">
        <f t="shared" si="16"/>
        <v>748902.6999999996</v>
      </c>
      <c r="H83" s="89">
        <f t="shared" si="9"/>
        <v>7270.9</v>
      </c>
      <c r="I83" s="89"/>
      <c r="J83" s="89">
        <f t="shared" si="10"/>
        <v>7270.9</v>
      </c>
      <c r="K83" s="89">
        <f t="shared" si="11"/>
        <v>0</v>
      </c>
      <c r="L83" s="89">
        <f t="shared" si="12"/>
        <v>7270.9</v>
      </c>
      <c r="M83" s="89">
        <f t="shared" si="13"/>
        <v>741631.79999999958</v>
      </c>
      <c r="N83" s="7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ht="18" customHeight="1" x14ac:dyDescent="0.3">
      <c r="A84" s="1"/>
      <c r="B84" s="1"/>
      <c r="C84" s="237"/>
      <c r="D84" s="133"/>
      <c r="E84" s="88">
        <f t="shared" si="14"/>
        <v>19</v>
      </c>
      <c r="F84" s="90">
        <f t="shared" si="15"/>
        <v>45261</v>
      </c>
      <c r="G84" s="89">
        <f t="shared" si="16"/>
        <v>741631.79999999958</v>
      </c>
      <c r="H84" s="89">
        <f t="shared" si="9"/>
        <v>7270.9</v>
      </c>
      <c r="I84" s="89"/>
      <c r="J84" s="89">
        <f t="shared" si="10"/>
        <v>7270.9</v>
      </c>
      <c r="K84" s="89">
        <f t="shared" si="11"/>
        <v>0</v>
      </c>
      <c r="L84" s="89">
        <f t="shared" si="12"/>
        <v>7270.9</v>
      </c>
      <c r="M84" s="89">
        <f t="shared" si="13"/>
        <v>734360.89999999956</v>
      </c>
      <c r="N84" s="7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ht="18" customHeight="1" x14ac:dyDescent="0.3">
      <c r="A85" s="1"/>
      <c r="B85" s="1"/>
      <c r="C85" s="237"/>
      <c r="D85" s="133"/>
      <c r="E85" s="88">
        <f t="shared" si="14"/>
        <v>20</v>
      </c>
      <c r="F85" s="90">
        <f t="shared" si="15"/>
        <v>45292</v>
      </c>
      <c r="G85" s="89">
        <f t="shared" si="16"/>
        <v>734360.89999999956</v>
      </c>
      <c r="H85" s="89">
        <f t="shared" si="9"/>
        <v>7270.9</v>
      </c>
      <c r="I85" s="89"/>
      <c r="J85" s="89">
        <f t="shared" si="10"/>
        <v>7270.9</v>
      </c>
      <c r="K85" s="89">
        <f t="shared" si="11"/>
        <v>0</v>
      </c>
      <c r="L85" s="89">
        <f t="shared" si="12"/>
        <v>7270.9</v>
      </c>
      <c r="M85" s="89">
        <f t="shared" si="13"/>
        <v>727089.99999999953</v>
      </c>
      <c r="N85" s="7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ht="18" customHeight="1" x14ac:dyDescent="0.3">
      <c r="A86" s="1"/>
      <c r="B86" s="1"/>
      <c r="C86" s="237"/>
      <c r="D86" s="133"/>
      <c r="E86" s="88">
        <f t="shared" si="14"/>
        <v>21</v>
      </c>
      <c r="F86" s="90">
        <f t="shared" si="15"/>
        <v>45323</v>
      </c>
      <c r="G86" s="89">
        <f t="shared" si="16"/>
        <v>727089.99999999953</v>
      </c>
      <c r="H86" s="89">
        <f t="shared" si="9"/>
        <v>7270.9</v>
      </c>
      <c r="I86" s="89"/>
      <c r="J86" s="89">
        <f t="shared" si="10"/>
        <v>7270.9</v>
      </c>
      <c r="K86" s="89">
        <f t="shared" si="11"/>
        <v>0</v>
      </c>
      <c r="L86" s="89">
        <f t="shared" si="12"/>
        <v>7270.9</v>
      </c>
      <c r="M86" s="89">
        <f t="shared" si="13"/>
        <v>719819.09999999951</v>
      </c>
      <c r="N86" s="7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ht="18" customHeight="1" x14ac:dyDescent="0.3">
      <c r="A87" s="1"/>
      <c r="B87" s="1"/>
      <c r="C87" s="237"/>
      <c r="D87" s="133"/>
      <c r="E87" s="88">
        <f t="shared" si="14"/>
        <v>22</v>
      </c>
      <c r="F87" s="90">
        <f t="shared" si="15"/>
        <v>45352</v>
      </c>
      <c r="G87" s="89">
        <f t="shared" si="16"/>
        <v>719819.09999999951</v>
      </c>
      <c r="H87" s="89">
        <f t="shared" si="9"/>
        <v>7270.9</v>
      </c>
      <c r="I87" s="89"/>
      <c r="J87" s="89">
        <f t="shared" si="10"/>
        <v>7270.9</v>
      </c>
      <c r="K87" s="89">
        <f t="shared" si="11"/>
        <v>0</v>
      </c>
      <c r="L87" s="89">
        <f t="shared" si="12"/>
        <v>7270.9</v>
      </c>
      <c r="M87" s="89">
        <f t="shared" si="13"/>
        <v>712548.19999999949</v>
      </c>
      <c r="N87" s="7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ht="18" customHeight="1" x14ac:dyDescent="0.3">
      <c r="A88" s="1"/>
      <c r="B88" s="1"/>
      <c r="C88" s="237"/>
      <c r="D88" s="133"/>
      <c r="E88" s="88">
        <f t="shared" si="14"/>
        <v>23</v>
      </c>
      <c r="F88" s="90">
        <f t="shared" si="15"/>
        <v>45383</v>
      </c>
      <c r="G88" s="89">
        <f t="shared" si="16"/>
        <v>712548.19999999949</v>
      </c>
      <c r="H88" s="89">
        <f t="shared" si="9"/>
        <v>7270.9</v>
      </c>
      <c r="I88" s="89"/>
      <c r="J88" s="89">
        <f t="shared" si="10"/>
        <v>7270.9</v>
      </c>
      <c r="K88" s="89">
        <f t="shared" si="11"/>
        <v>0</v>
      </c>
      <c r="L88" s="89">
        <f t="shared" si="12"/>
        <v>7270.9</v>
      </c>
      <c r="M88" s="89">
        <f t="shared" si="13"/>
        <v>705277.29999999946</v>
      </c>
      <c r="N88" s="7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ht="18" customHeight="1" x14ac:dyDescent="0.3">
      <c r="A89" s="1"/>
      <c r="B89" s="1"/>
      <c r="C89" s="238"/>
      <c r="D89" s="133"/>
      <c r="E89" s="88">
        <f t="shared" si="14"/>
        <v>24</v>
      </c>
      <c r="F89" s="90">
        <f t="shared" si="15"/>
        <v>45413</v>
      </c>
      <c r="G89" s="89">
        <f t="shared" si="16"/>
        <v>705277.29999999946</v>
      </c>
      <c r="H89" s="89">
        <f t="shared" si="9"/>
        <v>7270.9</v>
      </c>
      <c r="I89" s="89"/>
      <c r="J89" s="89">
        <f t="shared" si="10"/>
        <v>7270.9</v>
      </c>
      <c r="K89" s="89">
        <f t="shared" si="11"/>
        <v>0</v>
      </c>
      <c r="L89" s="89">
        <f t="shared" si="12"/>
        <v>7270.9</v>
      </c>
      <c r="M89" s="89">
        <f t="shared" si="13"/>
        <v>698006.39999999944</v>
      </c>
      <c r="N89" s="7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ht="18" customHeight="1" x14ac:dyDescent="0.3">
      <c r="A90" s="1"/>
      <c r="B90" s="1"/>
      <c r="C90" s="16"/>
      <c r="D90" s="145"/>
      <c r="E90" s="88">
        <f t="shared" si="14"/>
        <v>25</v>
      </c>
      <c r="F90" s="90">
        <f t="shared" si="15"/>
        <v>45444</v>
      </c>
      <c r="G90" s="89">
        <f t="shared" si="16"/>
        <v>698006.39999999944</v>
      </c>
      <c r="H90" s="89">
        <f t="shared" si="9"/>
        <v>7270.9</v>
      </c>
      <c r="I90" s="89"/>
      <c r="J90" s="89">
        <f t="shared" si="10"/>
        <v>7270.9</v>
      </c>
      <c r="K90" s="89">
        <f t="shared" si="11"/>
        <v>0</v>
      </c>
      <c r="L90" s="89">
        <f t="shared" si="12"/>
        <v>7270.9</v>
      </c>
      <c r="M90" s="89">
        <f t="shared" si="13"/>
        <v>690735.49999999942</v>
      </c>
      <c r="N90" s="7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ht="18" customHeight="1" x14ac:dyDescent="0.3">
      <c r="A91" s="1"/>
      <c r="B91" s="1"/>
      <c r="C91" s="16"/>
      <c r="D91" s="145"/>
      <c r="E91" s="88">
        <f t="shared" si="14"/>
        <v>26</v>
      </c>
      <c r="F91" s="90">
        <f t="shared" si="15"/>
        <v>45474</v>
      </c>
      <c r="G91" s="89">
        <f t="shared" si="16"/>
        <v>690735.49999999942</v>
      </c>
      <c r="H91" s="89">
        <f t="shared" si="9"/>
        <v>7270.9</v>
      </c>
      <c r="I91" s="89"/>
      <c r="J91" s="89">
        <f t="shared" si="10"/>
        <v>7270.9</v>
      </c>
      <c r="K91" s="89">
        <f t="shared" si="11"/>
        <v>0</v>
      </c>
      <c r="L91" s="89">
        <f t="shared" si="12"/>
        <v>7270.9</v>
      </c>
      <c r="M91" s="89">
        <f t="shared" si="13"/>
        <v>683464.59999999939</v>
      </c>
      <c r="N91" s="7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ht="18" customHeight="1" x14ac:dyDescent="0.3">
      <c r="A92" s="1"/>
      <c r="B92" s="1"/>
      <c r="C92" s="16"/>
      <c r="D92" s="145"/>
      <c r="E92" s="88">
        <f t="shared" si="14"/>
        <v>27</v>
      </c>
      <c r="F92" s="90">
        <f t="shared" si="15"/>
        <v>45505</v>
      </c>
      <c r="G92" s="89">
        <f t="shared" si="16"/>
        <v>683464.59999999939</v>
      </c>
      <c r="H92" s="89">
        <f t="shared" si="9"/>
        <v>7270.9</v>
      </c>
      <c r="I92" s="89"/>
      <c r="J92" s="89">
        <f t="shared" si="10"/>
        <v>7270.9</v>
      </c>
      <c r="K92" s="89">
        <f t="shared" si="11"/>
        <v>0</v>
      </c>
      <c r="L92" s="89">
        <f t="shared" si="12"/>
        <v>7270.9</v>
      </c>
      <c r="M92" s="89">
        <f t="shared" si="13"/>
        <v>676193.69999999937</v>
      </c>
      <c r="N92" s="7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ht="18" customHeight="1" x14ac:dyDescent="0.3">
      <c r="A93" s="1"/>
      <c r="B93" s="1"/>
      <c r="C93" s="16"/>
      <c r="D93" s="145"/>
      <c r="E93" s="88">
        <f t="shared" si="14"/>
        <v>28</v>
      </c>
      <c r="F93" s="90">
        <f t="shared" si="15"/>
        <v>45536</v>
      </c>
      <c r="G93" s="89">
        <f t="shared" si="16"/>
        <v>676193.69999999937</v>
      </c>
      <c r="H93" s="89">
        <f t="shared" si="9"/>
        <v>7270.9</v>
      </c>
      <c r="I93" s="89"/>
      <c r="J93" s="89">
        <f t="shared" si="10"/>
        <v>7270.9</v>
      </c>
      <c r="K93" s="89">
        <f t="shared" si="11"/>
        <v>0</v>
      </c>
      <c r="L93" s="89">
        <f t="shared" si="12"/>
        <v>7270.9</v>
      </c>
      <c r="M93" s="89">
        <f t="shared" si="13"/>
        <v>668922.79999999935</v>
      </c>
      <c r="N93" s="7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ht="18" customHeight="1" x14ac:dyDescent="0.3">
      <c r="A94" s="1"/>
      <c r="B94" s="1"/>
      <c r="C94" s="16"/>
      <c r="D94" s="145"/>
      <c r="E94" s="88">
        <f t="shared" si="14"/>
        <v>29</v>
      </c>
      <c r="F94" s="90">
        <f t="shared" si="15"/>
        <v>45566</v>
      </c>
      <c r="G94" s="89">
        <f t="shared" si="16"/>
        <v>668922.79999999935</v>
      </c>
      <c r="H94" s="89">
        <f t="shared" si="9"/>
        <v>7270.9</v>
      </c>
      <c r="I94" s="89"/>
      <c r="J94" s="89">
        <f t="shared" si="10"/>
        <v>7270.9</v>
      </c>
      <c r="K94" s="89">
        <f t="shared" si="11"/>
        <v>0</v>
      </c>
      <c r="L94" s="89">
        <f t="shared" si="12"/>
        <v>7270.9</v>
      </c>
      <c r="M94" s="89">
        <f t="shared" si="13"/>
        <v>661651.89999999932</v>
      </c>
      <c r="N94" s="7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ht="18" customHeight="1" x14ac:dyDescent="0.3">
      <c r="A95" s="1"/>
      <c r="B95" s="1"/>
      <c r="C95" s="16"/>
      <c r="D95" s="145"/>
      <c r="E95" s="88">
        <f t="shared" si="14"/>
        <v>30</v>
      </c>
      <c r="F95" s="90">
        <f t="shared" si="15"/>
        <v>45597</v>
      </c>
      <c r="G95" s="89">
        <f t="shared" si="16"/>
        <v>661651.89999999932</v>
      </c>
      <c r="H95" s="89">
        <f t="shared" si="9"/>
        <v>7270.9</v>
      </c>
      <c r="I95" s="89"/>
      <c r="J95" s="89">
        <f t="shared" si="10"/>
        <v>7270.9</v>
      </c>
      <c r="K95" s="89">
        <f t="shared" si="11"/>
        <v>0</v>
      </c>
      <c r="L95" s="89">
        <f t="shared" si="12"/>
        <v>7270.9</v>
      </c>
      <c r="M95" s="89">
        <f t="shared" si="13"/>
        <v>654380.9999999993</v>
      </c>
      <c r="N95" s="7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ht="18" customHeight="1" x14ac:dyDescent="0.3">
      <c r="A96" s="1"/>
      <c r="B96" s="1"/>
      <c r="C96" s="16"/>
      <c r="D96" s="145"/>
      <c r="E96" s="88">
        <f t="shared" si="14"/>
        <v>31</v>
      </c>
      <c r="F96" s="90">
        <f t="shared" si="15"/>
        <v>45627</v>
      </c>
      <c r="G96" s="89">
        <f t="shared" si="16"/>
        <v>654380.9999999993</v>
      </c>
      <c r="H96" s="89">
        <f t="shared" si="9"/>
        <v>7270.9</v>
      </c>
      <c r="I96" s="89"/>
      <c r="J96" s="89">
        <f t="shared" si="10"/>
        <v>7270.9</v>
      </c>
      <c r="K96" s="89">
        <f t="shared" si="11"/>
        <v>0</v>
      </c>
      <c r="L96" s="89">
        <f t="shared" si="12"/>
        <v>7270.9</v>
      </c>
      <c r="M96" s="89">
        <f t="shared" si="13"/>
        <v>647110.09999999928</v>
      </c>
      <c r="N96" s="7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ht="18" customHeight="1" x14ac:dyDescent="0.3">
      <c r="A97" s="1"/>
      <c r="B97" s="1"/>
      <c r="C97" s="16"/>
      <c r="D97" s="145"/>
      <c r="E97" s="88">
        <f t="shared" si="14"/>
        <v>32</v>
      </c>
      <c r="F97" s="90">
        <f t="shared" si="15"/>
        <v>45658</v>
      </c>
      <c r="G97" s="89">
        <f t="shared" si="16"/>
        <v>647110.09999999928</v>
      </c>
      <c r="H97" s="89">
        <f t="shared" si="9"/>
        <v>7270.9</v>
      </c>
      <c r="I97" s="89"/>
      <c r="J97" s="89">
        <f t="shared" si="10"/>
        <v>7270.9</v>
      </c>
      <c r="K97" s="89">
        <f t="shared" si="11"/>
        <v>0</v>
      </c>
      <c r="L97" s="89">
        <f t="shared" si="12"/>
        <v>7270.9</v>
      </c>
      <c r="M97" s="89">
        <f t="shared" si="13"/>
        <v>639839.19999999925</v>
      </c>
      <c r="N97" s="7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ht="18" customHeight="1" x14ac:dyDescent="0.3">
      <c r="A98" s="1"/>
      <c r="B98" s="1"/>
      <c r="C98" s="16"/>
      <c r="D98" s="145"/>
      <c r="E98" s="88">
        <f t="shared" si="14"/>
        <v>33</v>
      </c>
      <c r="F98" s="90">
        <f t="shared" si="15"/>
        <v>45689</v>
      </c>
      <c r="G98" s="89">
        <f t="shared" si="16"/>
        <v>639839.19999999925</v>
      </c>
      <c r="H98" s="89">
        <f t="shared" si="9"/>
        <v>7270.9</v>
      </c>
      <c r="I98" s="89"/>
      <c r="J98" s="89">
        <f t="shared" si="10"/>
        <v>7270.9</v>
      </c>
      <c r="K98" s="89">
        <f t="shared" si="11"/>
        <v>0</v>
      </c>
      <c r="L98" s="89">
        <f t="shared" si="12"/>
        <v>7270.9</v>
      </c>
      <c r="M98" s="89">
        <f t="shared" si="13"/>
        <v>632568.29999999923</v>
      </c>
      <c r="N98" s="7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ht="18" customHeight="1" x14ac:dyDescent="0.3">
      <c r="A99" s="1"/>
      <c r="B99" s="1"/>
      <c r="C99" s="16"/>
      <c r="D99" s="145"/>
      <c r="E99" s="88">
        <f t="shared" si="14"/>
        <v>34</v>
      </c>
      <c r="F99" s="90">
        <f t="shared" si="15"/>
        <v>45717</v>
      </c>
      <c r="G99" s="89">
        <f t="shared" si="16"/>
        <v>632568.29999999923</v>
      </c>
      <c r="H99" s="89">
        <f t="shared" si="9"/>
        <v>7270.9</v>
      </c>
      <c r="I99" s="89"/>
      <c r="J99" s="89">
        <f t="shared" si="10"/>
        <v>7270.9</v>
      </c>
      <c r="K99" s="89">
        <f t="shared" si="11"/>
        <v>0</v>
      </c>
      <c r="L99" s="89">
        <f t="shared" si="12"/>
        <v>7270.9</v>
      </c>
      <c r="M99" s="89">
        <f t="shared" si="13"/>
        <v>625297.39999999921</v>
      </c>
      <c r="N99" s="7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ht="18" customHeight="1" x14ac:dyDescent="0.3">
      <c r="A100" s="1"/>
      <c r="B100" s="1"/>
      <c r="C100" s="16"/>
      <c r="D100" s="145"/>
      <c r="E100" s="88">
        <f t="shared" si="14"/>
        <v>35</v>
      </c>
      <c r="F100" s="90">
        <f t="shared" si="15"/>
        <v>45748</v>
      </c>
      <c r="G100" s="89">
        <f t="shared" si="16"/>
        <v>625297.39999999921</v>
      </c>
      <c r="H100" s="89">
        <f t="shared" si="9"/>
        <v>7270.9</v>
      </c>
      <c r="I100" s="89"/>
      <c r="J100" s="89">
        <f t="shared" si="10"/>
        <v>7270.9</v>
      </c>
      <c r="K100" s="89">
        <f t="shared" si="11"/>
        <v>0</v>
      </c>
      <c r="L100" s="89">
        <f t="shared" si="12"/>
        <v>7270.9</v>
      </c>
      <c r="M100" s="89">
        <f t="shared" si="13"/>
        <v>618026.49999999919</v>
      </c>
      <c r="N100" s="7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ht="18" customHeight="1" x14ac:dyDescent="0.3">
      <c r="A101" s="1"/>
      <c r="B101" s="1"/>
      <c r="C101" s="16"/>
      <c r="D101" s="145"/>
      <c r="E101" s="88">
        <f t="shared" si="14"/>
        <v>36</v>
      </c>
      <c r="F101" s="90">
        <f t="shared" si="15"/>
        <v>45778</v>
      </c>
      <c r="G101" s="89">
        <f t="shared" si="16"/>
        <v>618026.49999999919</v>
      </c>
      <c r="H101" s="89">
        <f t="shared" si="9"/>
        <v>7270.9</v>
      </c>
      <c r="I101" s="89"/>
      <c r="J101" s="89">
        <f t="shared" si="10"/>
        <v>7270.9</v>
      </c>
      <c r="K101" s="89">
        <f t="shared" si="11"/>
        <v>0</v>
      </c>
      <c r="L101" s="89">
        <f t="shared" si="12"/>
        <v>7270.9</v>
      </c>
      <c r="M101" s="89">
        <f t="shared" si="13"/>
        <v>610755.59999999916</v>
      </c>
      <c r="N101" s="7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ht="18" customHeight="1" x14ac:dyDescent="0.25">
      <c r="A102" s="1"/>
      <c r="B102" s="1"/>
      <c r="C102" s="2"/>
      <c r="D102" s="143"/>
      <c r="E102" s="91">
        <f>SUBTOTAL(102,SIMULADOR!$E$66:$E$101)</f>
        <v>36</v>
      </c>
      <c r="F102" s="92">
        <f>VLOOKUP(E102,SIMULADOR!$E$65:$M$101,2,0)</f>
        <v>45778</v>
      </c>
      <c r="G102" s="93"/>
      <c r="H102" s="94">
        <f>SUBTOTAL(109,SIMULADOR!$H$66:$H$101)</f>
        <v>261752.39999999985</v>
      </c>
      <c r="I102" s="94">
        <f>SUBTOTAL(109,SIMULADOR!$I$66:$I$101)</f>
        <v>0</v>
      </c>
      <c r="J102" s="94">
        <f>SUBTOTAL(109,SIMULADOR!$J$66:$J$101)</f>
        <v>261752.39999999985</v>
      </c>
      <c r="K102" s="94">
        <f>SUBTOTAL(109,SIMULADOR!$K$66:$K$101)</f>
        <v>0</v>
      </c>
      <c r="L102" s="94">
        <f>SUBTOTAL(109,SIMULADOR!$L$66:$L$101)</f>
        <v>261752.39999999985</v>
      </c>
      <c r="M102" s="95">
        <f>VLOOKUP(E102,SIMULADOR!$E$65:$M$101,9,0)-SIMULADOR!$I$102</f>
        <v>610755.59999999916</v>
      </c>
      <c r="N102" s="96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ht="18" hidden="1" customHeight="1" outlineLevel="1" x14ac:dyDescent="0.25">
      <c r="A103" s="97"/>
      <c r="B103" s="97"/>
      <c r="C103" s="74"/>
      <c r="D103" s="146"/>
      <c r="E103" s="98"/>
      <c r="F103" s="98"/>
      <c r="G103" s="98"/>
      <c r="H103" s="98"/>
      <c r="I103" s="98"/>
      <c r="J103" s="98"/>
      <c r="K103" s="98"/>
      <c r="L103" s="98"/>
      <c r="M103" s="98"/>
      <c r="N103" s="99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</row>
    <row r="104" spans="1:34" ht="18" hidden="1" customHeight="1" outlineLevel="1" x14ac:dyDescent="0.25">
      <c r="A104" s="97"/>
      <c r="B104" s="97"/>
      <c r="C104" s="74"/>
      <c r="D104" s="146"/>
      <c r="E104" s="98"/>
      <c r="F104" s="98"/>
      <c r="G104" s="98"/>
      <c r="H104" s="98"/>
      <c r="I104" s="98"/>
      <c r="J104" s="98"/>
      <c r="K104" s="98"/>
      <c r="L104" s="98"/>
      <c r="M104" s="98"/>
      <c r="N104" s="99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</row>
    <row r="105" spans="1:34" ht="18" hidden="1" customHeight="1" outlineLevel="1" x14ac:dyDescent="0.25">
      <c r="A105" s="97"/>
      <c r="B105" s="97"/>
      <c r="C105" s="74"/>
      <c r="D105" s="146"/>
      <c r="E105" s="98"/>
      <c r="F105" s="98"/>
      <c r="G105" s="100" t="s">
        <v>78</v>
      </c>
      <c r="H105" s="101">
        <f>$L$102</f>
        <v>261752.39999999985</v>
      </c>
      <c r="I105" s="98"/>
      <c r="J105" s="98"/>
      <c r="K105" s="98"/>
      <c r="L105" s="98"/>
      <c r="M105" s="98"/>
      <c r="N105" s="99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</row>
    <row r="106" spans="1:34" ht="18" hidden="1" customHeight="1" outlineLevel="1" x14ac:dyDescent="0.25">
      <c r="A106" s="97"/>
      <c r="B106" s="97"/>
      <c r="C106" s="74"/>
      <c r="D106" s="146"/>
      <c r="E106" s="98"/>
      <c r="F106" s="98"/>
      <c r="G106" s="100" t="s">
        <v>79</v>
      </c>
      <c r="H106" s="102">
        <f>$H$57-$H$105</f>
        <v>610755.60000000009</v>
      </c>
      <c r="I106" s="98"/>
      <c r="J106" s="98"/>
      <c r="K106" s="98"/>
      <c r="L106" s="98"/>
      <c r="M106" s="98"/>
      <c r="N106" s="99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</row>
    <row r="107" spans="1:34" ht="18" hidden="1" customHeight="1" outlineLevel="1" x14ac:dyDescent="0.25">
      <c r="A107" s="97"/>
      <c r="B107" s="97"/>
      <c r="C107" s="74"/>
      <c r="D107" s="146"/>
      <c r="E107" s="98"/>
      <c r="F107" s="98"/>
      <c r="G107" s="100" t="s">
        <v>80</v>
      </c>
      <c r="H107" s="103">
        <f>$H$59-$H$61</f>
        <v>84</v>
      </c>
      <c r="I107" s="98"/>
      <c r="J107" s="98"/>
      <c r="K107" s="98"/>
      <c r="L107" s="98"/>
      <c r="M107" s="98"/>
      <c r="N107" s="99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</row>
    <row r="108" spans="1:34" ht="18" hidden="1" customHeight="1" outlineLevel="1" x14ac:dyDescent="0.25">
      <c r="A108" s="97"/>
      <c r="B108" s="97"/>
      <c r="C108" s="74"/>
      <c r="D108" s="146"/>
      <c r="E108" s="98"/>
      <c r="F108" s="98"/>
      <c r="G108" s="100" t="s">
        <v>81</v>
      </c>
      <c r="H108" s="104">
        <f>$H$109/12</f>
        <v>7</v>
      </c>
      <c r="I108" s="98"/>
      <c r="J108" s="98"/>
      <c r="K108" s="98"/>
      <c r="L108" s="98"/>
      <c r="M108" s="98"/>
      <c r="N108" s="99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</row>
    <row r="109" spans="1:34" ht="18" hidden="1" customHeight="1" outlineLevel="1" x14ac:dyDescent="0.25">
      <c r="A109" s="97"/>
      <c r="B109" s="97"/>
      <c r="C109" s="74"/>
      <c r="D109" s="146"/>
      <c r="E109" s="98"/>
      <c r="F109" s="98"/>
      <c r="G109" s="100" t="s">
        <v>82</v>
      </c>
      <c r="H109" s="105">
        <f>$G$24</f>
        <v>84</v>
      </c>
      <c r="I109" s="98"/>
      <c r="J109" s="98"/>
      <c r="K109" s="98"/>
      <c r="L109" s="98"/>
      <c r="M109" s="98"/>
      <c r="N109" s="99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</row>
    <row r="110" spans="1:34" ht="18" hidden="1" customHeight="1" outlineLevel="1" x14ac:dyDescent="0.25">
      <c r="A110" s="97"/>
      <c r="B110" s="97"/>
      <c r="C110" s="74"/>
      <c r="D110" s="146"/>
      <c r="E110" s="98"/>
      <c r="F110" s="98"/>
      <c r="G110" s="100" t="s">
        <v>67</v>
      </c>
      <c r="H110" s="106">
        <f>$H$24</f>
        <v>0.02</v>
      </c>
      <c r="I110" s="98"/>
      <c r="J110" s="98"/>
      <c r="K110" s="98"/>
      <c r="L110" s="98"/>
      <c r="M110" s="98"/>
      <c r="N110" s="99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</row>
    <row r="111" spans="1:34" ht="18" hidden="1" customHeight="1" outlineLevel="1" x14ac:dyDescent="0.25">
      <c r="A111" s="97"/>
      <c r="B111" s="97"/>
      <c r="C111" s="74"/>
      <c r="D111" s="146"/>
      <c r="E111" s="98"/>
      <c r="F111" s="98"/>
      <c r="G111" s="100" t="s">
        <v>83</v>
      </c>
      <c r="H111" s="107">
        <f>-PMT(H110,H107,H106)</f>
        <v>15070.890230370371</v>
      </c>
      <c r="I111" s="98"/>
      <c r="J111" s="98"/>
      <c r="K111" s="98"/>
      <c r="L111" s="98"/>
      <c r="M111" s="98"/>
      <c r="N111" s="99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</row>
    <row r="112" spans="1:34" ht="31.5" hidden="1" customHeight="1" outlineLevel="1" x14ac:dyDescent="0.25">
      <c r="A112" s="74"/>
      <c r="B112" s="74"/>
      <c r="C112" s="74"/>
      <c r="D112" s="146"/>
      <c r="E112" s="98"/>
      <c r="F112" s="98"/>
      <c r="G112" s="108"/>
      <c r="H112" s="107">
        <f>$H$111*$H$109</f>
        <v>1265954.779351111</v>
      </c>
      <c r="I112" s="98"/>
      <c r="J112" s="98"/>
      <c r="K112" s="98"/>
      <c r="L112" s="98"/>
      <c r="M112" s="109"/>
      <c r="N112" s="99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</row>
    <row r="113" spans="1:34" ht="18" customHeight="1" collapsed="1" x14ac:dyDescent="0.25">
      <c r="A113" s="2"/>
      <c r="B113" s="2"/>
      <c r="C113" s="2"/>
      <c r="D113" s="143"/>
      <c r="E113" s="110" t="s">
        <v>84</v>
      </c>
      <c r="F113" s="110"/>
      <c r="G113" s="110"/>
      <c r="H113" s="110"/>
      <c r="I113" s="110"/>
      <c r="J113" s="110"/>
      <c r="K113" s="110"/>
      <c r="L113" s="110"/>
      <c r="M113" s="110"/>
      <c r="N113" s="110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</row>
    <row r="114" spans="1:34" ht="18" customHeight="1" x14ac:dyDescent="0.25">
      <c r="A114" s="1"/>
      <c r="B114" s="1"/>
      <c r="C114" s="2"/>
      <c r="D114" s="143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</row>
    <row r="115" spans="1:34" ht="18" customHeight="1" x14ac:dyDescent="0.25">
      <c r="A115" s="1"/>
      <c r="B115" s="1"/>
      <c r="C115" s="2"/>
      <c r="D115" s="143"/>
      <c r="E115" s="112" t="s">
        <v>69</v>
      </c>
      <c r="F115" s="112" t="s">
        <v>70</v>
      </c>
      <c r="G115" s="112" t="s">
        <v>71</v>
      </c>
      <c r="H115" s="112" t="s">
        <v>72</v>
      </c>
      <c r="I115" s="112" t="s">
        <v>73</v>
      </c>
      <c r="J115" s="86" t="s">
        <v>74</v>
      </c>
      <c r="K115" s="112" t="s">
        <v>75</v>
      </c>
      <c r="L115" s="112" t="s">
        <v>76</v>
      </c>
      <c r="M115" s="113" t="s">
        <v>77</v>
      </c>
      <c r="N115" s="110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</row>
    <row r="116" spans="1:34" ht="18" hidden="1" customHeight="1" x14ac:dyDescent="0.25">
      <c r="A116" s="1"/>
      <c r="B116" s="1"/>
      <c r="C116" s="2"/>
      <c r="D116" s="143"/>
      <c r="E116" s="114">
        <f t="shared" ref="E116:F116" si="17">E102</f>
        <v>36</v>
      </c>
      <c r="F116" s="115">
        <f t="shared" si="17"/>
        <v>45778</v>
      </c>
      <c r="G116" s="89">
        <f>SIMULADOR!$M$102</f>
        <v>610755.59999999916</v>
      </c>
      <c r="H116" s="116"/>
      <c r="I116" s="117"/>
      <c r="J116" s="117"/>
      <c r="K116" s="117"/>
      <c r="L116" s="117"/>
      <c r="M116" s="118">
        <f t="shared" ref="M116:M200" si="18">G116-L116</f>
        <v>610755.59999999916</v>
      </c>
      <c r="N116" s="110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</row>
    <row r="117" spans="1:34" ht="18" customHeight="1" x14ac:dyDescent="0.25">
      <c r="A117" s="1"/>
      <c r="B117" s="1"/>
      <c r="C117" s="2"/>
      <c r="D117" s="143"/>
      <c r="E117" s="88">
        <f t="shared" ref="E117:E200" si="19">IF(G117&gt;1,IF(E116&lt;$H$59,E116+1,""))</f>
        <v>37</v>
      </c>
      <c r="F117" s="90">
        <f t="shared" ref="F117:F200" si="20">IF(G117&gt;1,IF(E116&lt;$H$22,DATE(YEAR(F116),MONTH(F116)+1,DAY(F116)),""))</f>
        <v>45809</v>
      </c>
      <c r="G117" s="89">
        <f t="shared" ref="G117:G200" si="21">M116</f>
        <v>610755.59999999916</v>
      </c>
      <c r="H117" s="89">
        <f t="shared" ref="H117:H182" si="22">IF(G117&gt;1,IF(E117&lt;121,(-PMT($H$110,$H$107,$H$106))))</f>
        <v>15070.890230370371</v>
      </c>
      <c r="I117" s="118"/>
      <c r="J117" s="89">
        <f t="shared" ref="J117:J200" si="23">SUM(H117:I117)</f>
        <v>15070.890230370371</v>
      </c>
      <c r="K117" s="89">
        <f t="shared" ref="K117:K200" si="24">IF(E117&gt;$G$23,(G117*$H$110),0)</f>
        <v>12215.111999999983</v>
      </c>
      <c r="L117" s="89">
        <f t="shared" ref="L117:L200" si="25">J117-K117</f>
        <v>2855.778230370388</v>
      </c>
      <c r="M117" s="118">
        <f t="shared" si="18"/>
        <v>607899.82176962879</v>
      </c>
      <c r="N117" s="110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</row>
    <row r="118" spans="1:34" ht="18" customHeight="1" x14ac:dyDescent="0.25">
      <c r="A118" s="1"/>
      <c r="B118" s="1"/>
      <c r="C118" s="2"/>
      <c r="D118" s="143"/>
      <c r="E118" s="88">
        <f t="shared" si="19"/>
        <v>38</v>
      </c>
      <c r="F118" s="90">
        <f t="shared" si="20"/>
        <v>45839</v>
      </c>
      <c r="G118" s="89">
        <f t="shared" si="21"/>
        <v>607899.82176962879</v>
      </c>
      <c r="H118" s="89">
        <f t="shared" si="22"/>
        <v>15070.890230370371</v>
      </c>
      <c r="I118" s="118"/>
      <c r="J118" s="89">
        <f t="shared" si="23"/>
        <v>15070.890230370371</v>
      </c>
      <c r="K118" s="89">
        <f t="shared" si="24"/>
        <v>12157.996435392575</v>
      </c>
      <c r="L118" s="89">
        <f t="shared" si="25"/>
        <v>2912.8937949777956</v>
      </c>
      <c r="M118" s="118">
        <f t="shared" si="18"/>
        <v>604986.92797465099</v>
      </c>
      <c r="N118" s="110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</row>
    <row r="119" spans="1:34" ht="18" customHeight="1" x14ac:dyDescent="0.25">
      <c r="A119" s="1"/>
      <c r="B119" s="1"/>
      <c r="C119" s="2"/>
      <c r="D119" s="143"/>
      <c r="E119" s="88">
        <f t="shared" si="19"/>
        <v>39</v>
      </c>
      <c r="F119" s="90">
        <f t="shared" si="20"/>
        <v>45870</v>
      </c>
      <c r="G119" s="89">
        <f t="shared" si="21"/>
        <v>604986.92797465099</v>
      </c>
      <c r="H119" s="89">
        <f t="shared" si="22"/>
        <v>15070.890230370371</v>
      </c>
      <c r="I119" s="118"/>
      <c r="J119" s="89">
        <f t="shared" si="23"/>
        <v>15070.890230370371</v>
      </c>
      <c r="K119" s="89">
        <f t="shared" si="24"/>
        <v>12099.73855949302</v>
      </c>
      <c r="L119" s="89">
        <f t="shared" si="25"/>
        <v>2971.1516708773506</v>
      </c>
      <c r="M119" s="118">
        <f t="shared" si="18"/>
        <v>602015.77630377363</v>
      </c>
      <c r="N119" s="110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</row>
    <row r="120" spans="1:34" ht="18" customHeight="1" x14ac:dyDescent="0.25">
      <c r="A120" s="1"/>
      <c r="B120" s="1"/>
      <c r="C120" s="2"/>
      <c r="D120" s="143"/>
      <c r="E120" s="88">
        <f t="shared" si="19"/>
        <v>40</v>
      </c>
      <c r="F120" s="90">
        <f t="shared" si="20"/>
        <v>45901</v>
      </c>
      <c r="G120" s="89">
        <f t="shared" si="21"/>
        <v>602015.77630377363</v>
      </c>
      <c r="H120" s="89">
        <f t="shared" si="22"/>
        <v>15070.890230370371</v>
      </c>
      <c r="I120" s="118"/>
      <c r="J120" s="89">
        <f t="shared" si="23"/>
        <v>15070.890230370371</v>
      </c>
      <c r="K120" s="89">
        <f t="shared" si="24"/>
        <v>12040.315526075472</v>
      </c>
      <c r="L120" s="89">
        <f t="shared" si="25"/>
        <v>3030.5747042948988</v>
      </c>
      <c r="M120" s="118">
        <f t="shared" si="18"/>
        <v>598985.20159947872</v>
      </c>
      <c r="N120" s="110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</row>
    <row r="121" spans="1:34" ht="18" customHeight="1" x14ac:dyDescent="0.25">
      <c r="A121" s="1"/>
      <c r="B121" s="1"/>
      <c r="C121" s="2"/>
      <c r="D121" s="143"/>
      <c r="E121" s="88">
        <f t="shared" si="19"/>
        <v>41</v>
      </c>
      <c r="F121" s="90">
        <f t="shared" si="20"/>
        <v>45931</v>
      </c>
      <c r="G121" s="89">
        <f t="shared" si="21"/>
        <v>598985.20159947872</v>
      </c>
      <c r="H121" s="89">
        <f t="shared" si="22"/>
        <v>15070.890230370371</v>
      </c>
      <c r="I121" s="118"/>
      <c r="J121" s="89">
        <f t="shared" si="23"/>
        <v>15070.890230370371</v>
      </c>
      <c r="K121" s="89">
        <f t="shared" si="24"/>
        <v>11979.704031989575</v>
      </c>
      <c r="L121" s="89">
        <f t="shared" si="25"/>
        <v>3091.1861983807958</v>
      </c>
      <c r="M121" s="118">
        <f t="shared" si="18"/>
        <v>595894.01540109795</v>
      </c>
      <c r="N121" s="110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</row>
    <row r="122" spans="1:34" ht="18" customHeight="1" x14ac:dyDescent="0.25">
      <c r="A122" s="1"/>
      <c r="B122" s="1"/>
      <c r="C122" s="2"/>
      <c r="D122" s="143"/>
      <c r="E122" s="88">
        <f t="shared" si="19"/>
        <v>42</v>
      </c>
      <c r="F122" s="90">
        <f t="shared" si="20"/>
        <v>45962</v>
      </c>
      <c r="G122" s="89">
        <f t="shared" si="21"/>
        <v>595894.01540109795</v>
      </c>
      <c r="H122" s="89">
        <f t="shared" si="22"/>
        <v>15070.890230370371</v>
      </c>
      <c r="I122" s="118"/>
      <c r="J122" s="89">
        <f t="shared" si="23"/>
        <v>15070.890230370371</v>
      </c>
      <c r="K122" s="89">
        <f t="shared" si="24"/>
        <v>11917.880308021959</v>
      </c>
      <c r="L122" s="89">
        <f t="shared" si="25"/>
        <v>3153.0099223484121</v>
      </c>
      <c r="M122" s="118">
        <f t="shared" si="18"/>
        <v>592741.00547874952</v>
      </c>
      <c r="N122" s="110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</row>
    <row r="123" spans="1:34" ht="18" customHeight="1" x14ac:dyDescent="0.25">
      <c r="A123" s="1"/>
      <c r="B123" s="1"/>
      <c r="C123" s="2"/>
      <c r="D123" s="143"/>
      <c r="E123" s="88">
        <f t="shared" si="19"/>
        <v>43</v>
      </c>
      <c r="F123" s="90">
        <f t="shared" si="20"/>
        <v>45992</v>
      </c>
      <c r="G123" s="89">
        <f t="shared" si="21"/>
        <v>592741.00547874952</v>
      </c>
      <c r="H123" s="89">
        <f t="shared" si="22"/>
        <v>15070.890230370371</v>
      </c>
      <c r="I123" s="118"/>
      <c r="J123" s="89">
        <f t="shared" si="23"/>
        <v>15070.890230370371</v>
      </c>
      <c r="K123" s="89">
        <f t="shared" si="24"/>
        <v>11854.82010957499</v>
      </c>
      <c r="L123" s="89">
        <f t="shared" si="25"/>
        <v>3216.0701207953807</v>
      </c>
      <c r="M123" s="118">
        <f t="shared" si="18"/>
        <v>589524.93535795412</v>
      </c>
      <c r="N123" s="110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</row>
    <row r="124" spans="1:34" ht="18" customHeight="1" x14ac:dyDescent="0.25">
      <c r="A124" s="1"/>
      <c r="B124" s="1"/>
      <c r="C124" s="2"/>
      <c r="D124" s="143"/>
      <c r="E124" s="88">
        <f t="shared" si="19"/>
        <v>44</v>
      </c>
      <c r="F124" s="90">
        <f t="shared" si="20"/>
        <v>46023</v>
      </c>
      <c r="G124" s="89">
        <f t="shared" si="21"/>
        <v>589524.93535795412</v>
      </c>
      <c r="H124" s="89">
        <f t="shared" si="22"/>
        <v>15070.890230370371</v>
      </c>
      <c r="I124" s="118"/>
      <c r="J124" s="89">
        <f t="shared" si="23"/>
        <v>15070.890230370371</v>
      </c>
      <c r="K124" s="89">
        <f t="shared" si="24"/>
        <v>11790.498707159082</v>
      </c>
      <c r="L124" s="89">
        <f t="shared" si="25"/>
        <v>3280.3915232112886</v>
      </c>
      <c r="M124" s="118">
        <f t="shared" si="18"/>
        <v>586244.54383474286</v>
      </c>
      <c r="N124" s="110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</row>
    <row r="125" spans="1:34" ht="18" customHeight="1" x14ac:dyDescent="0.25">
      <c r="A125" s="1"/>
      <c r="B125" s="1"/>
      <c r="C125" s="2"/>
      <c r="D125" s="143"/>
      <c r="E125" s="88">
        <f t="shared" si="19"/>
        <v>45</v>
      </c>
      <c r="F125" s="90">
        <f t="shared" si="20"/>
        <v>46054</v>
      </c>
      <c r="G125" s="89">
        <f t="shared" si="21"/>
        <v>586244.54383474286</v>
      </c>
      <c r="H125" s="89">
        <f t="shared" si="22"/>
        <v>15070.890230370371</v>
      </c>
      <c r="I125" s="118"/>
      <c r="J125" s="89">
        <f t="shared" si="23"/>
        <v>15070.890230370371</v>
      </c>
      <c r="K125" s="89">
        <f t="shared" si="24"/>
        <v>11724.890876694857</v>
      </c>
      <c r="L125" s="89">
        <f t="shared" si="25"/>
        <v>3345.9993536755137</v>
      </c>
      <c r="M125" s="118">
        <f t="shared" si="18"/>
        <v>582898.54448106734</v>
      </c>
      <c r="N125" s="110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</row>
    <row r="126" spans="1:34" ht="18" customHeight="1" x14ac:dyDescent="0.25">
      <c r="A126" s="1"/>
      <c r="B126" s="1"/>
      <c r="C126" s="2"/>
      <c r="D126" s="143"/>
      <c r="E126" s="88">
        <f t="shared" si="19"/>
        <v>46</v>
      </c>
      <c r="F126" s="90">
        <f t="shared" si="20"/>
        <v>46082</v>
      </c>
      <c r="G126" s="89">
        <f t="shared" si="21"/>
        <v>582898.54448106734</v>
      </c>
      <c r="H126" s="89">
        <f t="shared" si="22"/>
        <v>15070.890230370371</v>
      </c>
      <c r="I126" s="118"/>
      <c r="J126" s="89">
        <f t="shared" si="23"/>
        <v>15070.890230370371</v>
      </c>
      <c r="K126" s="89">
        <f t="shared" si="24"/>
        <v>11657.970889621347</v>
      </c>
      <c r="L126" s="89">
        <f t="shared" si="25"/>
        <v>3412.9193407490238</v>
      </c>
      <c r="M126" s="118">
        <f t="shared" si="18"/>
        <v>579485.6251403183</v>
      </c>
      <c r="N126" s="110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</row>
    <row r="127" spans="1:34" ht="18" customHeight="1" x14ac:dyDescent="0.25">
      <c r="A127" s="1"/>
      <c r="B127" s="1"/>
      <c r="C127" s="2"/>
      <c r="D127" s="143"/>
      <c r="E127" s="88">
        <f t="shared" si="19"/>
        <v>47</v>
      </c>
      <c r="F127" s="90">
        <f t="shared" si="20"/>
        <v>46113</v>
      </c>
      <c r="G127" s="89">
        <f t="shared" si="21"/>
        <v>579485.6251403183</v>
      </c>
      <c r="H127" s="89">
        <f t="shared" si="22"/>
        <v>15070.890230370371</v>
      </c>
      <c r="I127" s="118"/>
      <c r="J127" s="89">
        <f t="shared" si="23"/>
        <v>15070.890230370371</v>
      </c>
      <c r="K127" s="89">
        <f t="shared" si="24"/>
        <v>11589.712502806366</v>
      </c>
      <c r="L127" s="89">
        <f t="shared" si="25"/>
        <v>3481.1777275640052</v>
      </c>
      <c r="M127" s="118">
        <f t="shared" si="18"/>
        <v>576004.44741275429</v>
      </c>
      <c r="N127" s="110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</row>
    <row r="128" spans="1:34" ht="18" customHeight="1" x14ac:dyDescent="0.25">
      <c r="A128" s="1"/>
      <c r="B128" s="1"/>
      <c r="C128" s="2"/>
      <c r="D128" s="143"/>
      <c r="E128" s="88">
        <f t="shared" si="19"/>
        <v>48</v>
      </c>
      <c r="F128" s="90">
        <f t="shared" si="20"/>
        <v>46143</v>
      </c>
      <c r="G128" s="89">
        <f t="shared" si="21"/>
        <v>576004.44741275429</v>
      </c>
      <c r="H128" s="89">
        <f t="shared" si="22"/>
        <v>15070.890230370371</v>
      </c>
      <c r="I128" s="118"/>
      <c r="J128" s="89">
        <f t="shared" si="23"/>
        <v>15070.890230370371</v>
      </c>
      <c r="K128" s="89">
        <f t="shared" si="24"/>
        <v>11520.088948255087</v>
      </c>
      <c r="L128" s="89">
        <f t="shared" si="25"/>
        <v>3550.8012821152843</v>
      </c>
      <c r="M128" s="118">
        <f t="shared" si="18"/>
        <v>572453.64613063901</v>
      </c>
      <c r="N128" s="110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</row>
    <row r="129" spans="1:34" ht="18" customHeight="1" x14ac:dyDescent="0.25">
      <c r="A129" s="1"/>
      <c r="B129" s="1"/>
      <c r="C129" s="2"/>
      <c r="D129" s="143"/>
      <c r="E129" s="88">
        <f t="shared" si="19"/>
        <v>49</v>
      </c>
      <c r="F129" s="90">
        <f t="shared" si="20"/>
        <v>46174</v>
      </c>
      <c r="G129" s="89">
        <f t="shared" si="21"/>
        <v>572453.64613063901</v>
      </c>
      <c r="H129" s="89">
        <f t="shared" si="22"/>
        <v>15070.890230370371</v>
      </c>
      <c r="I129" s="118"/>
      <c r="J129" s="89">
        <f t="shared" si="23"/>
        <v>15070.890230370371</v>
      </c>
      <c r="K129" s="89">
        <f t="shared" si="24"/>
        <v>11449.072922612781</v>
      </c>
      <c r="L129" s="89">
        <f t="shared" si="25"/>
        <v>3621.8173077575902</v>
      </c>
      <c r="M129" s="118">
        <f t="shared" si="18"/>
        <v>568831.82882288145</v>
      </c>
      <c r="N129" s="110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</row>
    <row r="130" spans="1:34" ht="18" customHeight="1" x14ac:dyDescent="0.25">
      <c r="A130" s="1"/>
      <c r="B130" s="1"/>
      <c r="C130" s="2"/>
      <c r="D130" s="143"/>
      <c r="E130" s="88">
        <f t="shared" si="19"/>
        <v>50</v>
      </c>
      <c r="F130" s="90">
        <f t="shared" si="20"/>
        <v>46204</v>
      </c>
      <c r="G130" s="89">
        <f t="shared" si="21"/>
        <v>568831.82882288145</v>
      </c>
      <c r="H130" s="89">
        <f t="shared" si="22"/>
        <v>15070.890230370371</v>
      </c>
      <c r="I130" s="118"/>
      <c r="J130" s="89">
        <f t="shared" si="23"/>
        <v>15070.890230370371</v>
      </c>
      <c r="K130" s="89">
        <f t="shared" si="24"/>
        <v>11376.636576457629</v>
      </c>
      <c r="L130" s="89">
        <f t="shared" si="25"/>
        <v>3694.2536539127414</v>
      </c>
      <c r="M130" s="118">
        <f t="shared" si="18"/>
        <v>565137.57516896876</v>
      </c>
      <c r="N130" s="110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</row>
    <row r="131" spans="1:34" ht="18" customHeight="1" x14ac:dyDescent="0.25">
      <c r="A131" s="1"/>
      <c r="B131" s="1"/>
      <c r="C131" s="2"/>
      <c r="D131" s="143"/>
      <c r="E131" s="88">
        <f t="shared" si="19"/>
        <v>51</v>
      </c>
      <c r="F131" s="90">
        <f t="shared" si="20"/>
        <v>46235</v>
      </c>
      <c r="G131" s="89">
        <f t="shared" si="21"/>
        <v>565137.57516896876</v>
      </c>
      <c r="H131" s="89">
        <f t="shared" si="22"/>
        <v>15070.890230370371</v>
      </c>
      <c r="I131" s="118"/>
      <c r="J131" s="89">
        <f t="shared" si="23"/>
        <v>15070.890230370371</v>
      </c>
      <c r="K131" s="89">
        <f t="shared" si="24"/>
        <v>11302.751503379375</v>
      </c>
      <c r="L131" s="89">
        <f t="shared" si="25"/>
        <v>3768.1387269909956</v>
      </c>
      <c r="M131" s="118">
        <f t="shared" si="18"/>
        <v>561369.43644197774</v>
      </c>
      <c r="N131" s="110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</row>
    <row r="132" spans="1:34" ht="18" customHeight="1" x14ac:dyDescent="0.25">
      <c r="A132" s="1"/>
      <c r="B132" s="1"/>
      <c r="C132" s="2"/>
      <c r="D132" s="143"/>
      <c r="E132" s="88">
        <f t="shared" si="19"/>
        <v>52</v>
      </c>
      <c r="F132" s="90">
        <f t="shared" si="20"/>
        <v>46266</v>
      </c>
      <c r="G132" s="89">
        <f t="shared" si="21"/>
        <v>561369.43644197774</v>
      </c>
      <c r="H132" s="89">
        <f t="shared" si="22"/>
        <v>15070.890230370371</v>
      </c>
      <c r="I132" s="118"/>
      <c r="J132" s="89">
        <f t="shared" si="23"/>
        <v>15070.890230370371</v>
      </c>
      <c r="K132" s="89">
        <f t="shared" si="24"/>
        <v>11227.388728839554</v>
      </c>
      <c r="L132" s="89">
        <f t="shared" si="25"/>
        <v>3843.5015015308163</v>
      </c>
      <c r="M132" s="118">
        <f t="shared" si="18"/>
        <v>557525.93494044687</v>
      </c>
      <c r="N132" s="110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</row>
    <row r="133" spans="1:34" ht="18" customHeight="1" x14ac:dyDescent="0.25">
      <c r="A133" s="1"/>
      <c r="B133" s="1"/>
      <c r="C133" s="2"/>
      <c r="D133" s="143"/>
      <c r="E133" s="88">
        <f t="shared" si="19"/>
        <v>53</v>
      </c>
      <c r="F133" s="90">
        <f t="shared" si="20"/>
        <v>46296</v>
      </c>
      <c r="G133" s="89">
        <f t="shared" si="21"/>
        <v>557525.93494044687</v>
      </c>
      <c r="H133" s="89">
        <f t="shared" si="22"/>
        <v>15070.890230370371</v>
      </c>
      <c r="I133" s="118"/>
      <c r="J133" s="89">
        <f t="shared" si="23"/>
        <v>15070.890230370371</v>
      </c>
      <c r="K133" s="89">
        <f t="shared" si="24"/>
        <v>11150.518698808937</v>
      </c>
      <c r="L133" s="89">
        <f t="shared" si="25"/>
        <v>3920.3715315614336</v>
      </c>
      <c r="M133" s="118">
        <f t="shared" si="18"/>
        <v>553605.56340888538</v>
      </c>
      <c r="N133" s="110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</row>
    <row r="134" spans="1:34" ht="18" customHeight="1" x14ac:dyDescent="0.25">
      <c r="A134" s="1"/>
      <c r="B134" s="1"/>
      <c r="C134" s="2"/>
      <c r="D134" s="143"/>
      <c r="E134" s="88">
        <f t="shared" si="19"/>
        <v>54</v>
      </c>
      <c r="F134" s="90">
        <f t="shared" si="20"/>
        <v>46327</v>
      </c>
      <c r="G134" s="89">
        <f t="shared" si="21"/>
        <v>553605.56340888538</v>
      </c>
      <c r="H134" s="89">
        <f t="shared" si="22"/>
        <v>15070.890230370371</v>
      </c>
      <c r="I134" s="118"/>
      <c r="J134" s="89">
        <f t="shared" si="23"/>
        <v>15070.890230370371</v>
      </c>
      <c r="K134" s="89">
        <f t="shared" si="24"/>
        <v>11072.111268177709</v>
      </c>
      <c r="L134" s="89">
        <f t="shared" si="25"/>
        <v>3998.7789621926622</v>
      </c>
      <c r="M134" s="118">
        <f t="shared" si="18"/>
        <v>549606.78444669268</v>
      </c>
      <c r="N134" s="110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</row>
    <row r="135" spans="1:34" ht="18" customHeight="1" x14ac:dyDescent="0.25">
      <c r="A135" s="1"/>
      <c r="B135" s="1"/>
      <c r="C135" s="2"/>
      <c r="D135" s="143"/>
      <c r="E135" s="88">
        <f t="shared" si="19"/>
        <v>55</v>
      </c>
      <c r="F135" s="90">
        <f t="shared" si="20"/>
        <v>46357</v>
      </c>
      <c r="G135" s="89">
        <f t="shared" si="21"/>
        <v>549606.78444669268</v>
      </c>
      <c r="H135" s="89">
        <f t="shared" si="22"/>
        <v>15070.890230370371</v>
      </c>
      <c r="I135" s="118"/>
      <c r="J135" s="89">
        <f t="shared" si="23"/>
        <v>15070.890230370371</v>
      </c>
      <c r="K135" s="89">
        <f t="shared" si="24"/>
        <v>10992.135688933853</v>
      </c>
      <c r="L135" s="89">
        <f t="shared" si="25"/>
        <v>4078.7545414365177</v>
      </c>
      <c r="M135" s="118">
        <f t="shared" si="18"/>
        <v>545528.02990525612</v>
      </c>
      <c r="N135" s="110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</row>
    <row r="136" spans="1:34" ht="18" customHeight="1" x14ac:dyDescent="0.25">
      <c r="A136" s="1"/>
      <c r="B136" s="1"/>
      <c r="C136" s="2"/>
      <c r="D136" s="143"/>
      <c r="E136" s="88">
        <f t="shared" si="19"/>
        <v>56</v>
      </c>
      <c r="F136" s="90">
        <f t="shared" si="20"/>
        <v>46388</v>
      </c>
      <c r="G136" s="89">
        <f t="shared" si="21"/>
        <v>545528.02990525612</v>
      </c>
      <c r="H136" s="89">
        <f t="shared" si="22"/>
        <v>15070.890230370371</v>
      </c>
      <c r="I136" s="118"/>
      <c r="J136" s="89">
        <f t="shared" si="23"/>
        <v>15070.890230370371</v>
      </c>
      <c r="K136" s="89">
        <f t="shared" si="24"/>
        <v>10910.560598105123</v>
      </c>
      <c r="L136" s="89">
        <f t="shared" si="25"/>
        <v>4160.3296322652477</v>
      </c>
      <c r="M136" s="118">
        <f t="shared" si="18"/>
        <v>541367.70027299086</v>
      </c>
      <c r="N136" s="110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</row>
    <row r="137" spans="1:34" ht="18" customHeight="1" x14ac:dyDescent="0.25">
      <c r="A137" s="1"/>
      <c r="B137" s="1"/>
      <c r="C137" s="2"/>
      <c r="D137" s="143"/>
      <c r="E137" s="88">
        <f t="shared" si="19"/>
        <v>57</v>
      </c>
      <c r="F137" s="90">
        <f t="shared" si="20"/>
        <v>46419</v>
      </c>
      <c r="G137" s="89">
        <f t="shared" si="21"/>
        <v>541367.70027299086</v>
      </c>
      <c r="H137" s="89">
        <f t="shared" si="22"/>
        <v>15070.890230370371</v>
      </c>
      <c r="I137" s="118"/>
      <c r="J137" s="89">
        <f t="shared" si="23"/>
        <v>15070.890230370371</v>
      </c>
      <c r="K137" s="89">
        <f t="shared" si="24"/>
        <v>10827.354005459818</v>
      </c>
      <c r="L137" s="89">
        <f t="shared" si="25"/>
        <v>4243.5362249105528</v>
      </c>
      <c r="M137" s="118">
        <f t="shared" si="18"/>
        <v>537124.16404808033</v>
      </c>
      <c r="N137" s="110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</row>
    <row r="138" spans="1:34" ht="18" customHeight="1" x14ac:dyDescent="0.25">
      <c r="A138" s="1"/>
      <c r="B138" s="1"/>
      <c r="C138" s="2"/>
      <c r="D138" s="143"/>
      <c r="E138" s="88">
        <f t="shared" si="19"/>
        <v>58</v>
      </c>
      <c r="F138" s="90">
        <f t="shared" si="20"/>
        <v>46447</v>
      </c>
      <c r="G138" s="89">
        <f t="shared" si="21"/>
        <v>537124.16404808033</v>
      </c>
      <c r="H138" s="89">
        <f t="shared" si="22"/>
        <v>15070.890230370371</v>
      </c>
      <c r="I138" s="118"/>
      <c r="J138" s="89">
        <f t="shared" si="23"/>
        <v>15070.890230370371</v>
      </c>
      <c r="K138" s="89">
        <f t="shared" si="24"/>
        <v>10742.483280961607</v>
      </c>
      <c r="L138" s="89">
        <f t="shared" si="25"/>
        <v>4328.4069494087635</v>
      </c>
      <c r="M138" s="118">
        <f t="shared" si="18"/>
        <v>532795.75709867151</v>
      </c>
      <c r="N138" s="110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</row>
    <row r="139" spans="1:34" ht="18" customHeight="1" x14ac:dyDescent="0.25">
      <c r="A139" s="1"/>
      <c r="B139" s="1"/>
      <c r="C139" s="2"/>
      <c r="D139" s="143"/>
      <c r="E139" s="88">
        <f t="shared" si="19"/>
        <v>59</v>
      </c>
      <c r="F139" s="90">
        <f t="shared" si="20"/>
        <v>46478</v>
      </c>
      <c r="G139" s="89">
        <f t="shared" si="21"/>
        <v>532795.75709867151</v>
      </c>
      <c r="H139" s="89">
        <f t="shared" si="22"/>
        <v>15070.890230370371</v>
      </c>
      <c r="I139" s="118"/>
      <c r="J139" s="89">
        <f t="shared" si="23"/>
        <v>15070.890230370371</v>
      </c>
      <c r="K139" s="89">
        <f t="shared" si="24"/>
        <v>10655.91514197343</v>
      </c>
      <c r="L139" s="89">
        <f t="shared" si="25"/>
        <v>4414.9750883969409</v>
      </c>
      <c r="M139" s="118">
        <f t="shared" si="18"/>
        <v>528380.78201027459</v>
      </c>
      <c r="N139" s="110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</row>
    <row r="140" spans="1:34" ht="18" customHeight="1" x14ac:dyDescent="0.25">
      <c r="A140" s="1"/>
      <c r="B140" s="1"/>
      <c r="C140" s="2"/>
      <c r="D140" s="143"/>
      <c r="E140" s="88">
        <f t="shared" si="19"/>
        <v>60</v>
      </c>
      <c r="F140" s="90">
        <f t="shared" si="20"/>
        <v>46508</v>
      </c>
      <c r="G140" s="89">
        <f t="shared" si="21"/>
        <v>528380.78201027459</v>
      </c>
      <c r="H140" s="89">
        <f t="shared" si="22"/>
        <v>15070.890230370371</v>
      </c>
      <c r="I140" s="118"/>
      <c r="J140" s="89">
        <f t="shared" si="23"/>
        <v>15070.890230370371</v>
      </c>
      <c r="K140" s="89">
        <f t="shared" si="24"/>
        <v>10567.615640205491</v>
      </c>
      <c r="L140" s="89">
        <f t="shared" si="25"/>
        <v>4503.2745901648796</v>
      </c>
      <c r="M140" s="118">
        <f t="shared" si="18"/>
        <v>523877.5074201097</v>
      </c>
      <c r="N140" s="110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</row>
    <row r="141" spans="1:34" ht="18" customHeight="1" x14ac:dyDescent="0.25">
      <c r="A141" s="1"/>
      <c r="B141" s="1"/>
      <c r="C141" s="2"/>
      <c r="D141" s="143"/>
      <c r="E141" s="88">
        <f t="shared" si="19"/>
        <v>61</v>
      </c>
      <c r="F141" s="90">
        <f t="shared" si="20"/>
        <v>46539</v>
      </c>
      <c r="G141" s="89">
        <f t="shared" si="21"/>
        <v>523877.5074201097</v>
      </c>
      <c r="H141" s="89">
        <f t="shared" si="22"/>
        <v>15070.890230370371</v>
      </c>
      <c r="I141" s="118"/>
      <c r="J141" s="89">
        <f t="shared" si="23"/>
        <v>15070.890230370371</v>
      </c>
      <c r="K141" s="89">
        <f t="shared" si="24"/>
        <v>10477.550148402193</v>
      </c>
      <c r="L141" s="89">
        <f t="shared" si="25"/>
        <v>4593.3400819681774</v>
      </c>
      <c r="M141" s="118">
        <f t="shared" si="18"/>
        <v>519284.16733814153</v>
      </c>
      <c r="N141" s="110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</row>
    <row r="142" spans="1:34" ht="18" customHeight="1" x14ac:dyDescent="0.25">
      <c r="A142" s="1"/>
      <c r="B142" s="1"/>
      <c r="C142" s="2"/>
      <c r="D142" s="143"/>
      <c r="E142" s="88">
        <f t="shared" si="19"/>
        <v>62</v>
      </c>
      <c r="F142" s="90">
        <f t="shared" si="20"/>
        <v>46569</v>
      </c>
      <c r="G142" s="89">
        <f t="shared" si="21"/>
        <v>519284.16733814153</v>
      </c>
      <c r="H142" s="89">
        <f t="shared" si="22"/>
        <v>15070.890230370371</v>
      </c>
      <c r="I142" s="118"/>
      <c r="J142" s="89">
        <f t="shared" si="23"/>
        <v>15070.890230370371</v>
      </c>
      <c r="K142" s="89">
        <f t="shared" si="24"/>
        <v>10385.683346762831</v>
      </c>
      <c r="L142" s="89">
        <f t="shared" si="25"/>
        <v>4685.2068836075396</v>
      </c>
      <c r="M142" s="118">
        <f t="shared" si="18"/>
        <v>514598.96045453398</v>
      </c>
      <c r="N142" s="110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</row>
    <row r="143" spans="1:34" ht="18" customHeight="1" x14ac:dyDescent="0.25">
      <c r="A143" s="1"/>
      <c r="B143" s="1"/>
      <c r="C143" s="2"/>
      <c r="D143" s="143"/>
      <c r="E143" s="88">
        <f t="shared" si="19"/>
        <v>63</v>
      </c>
      <c r="F143" s="90">
        <f t="shared" si="20"/>
        <v>46600</v>
      </c>
      <c r="G143" s="89">
        <f t="shared" si="21"/>
        <v>514598.96045453398</v>
      </c>
      <c r="H143" s="89">
        <f t="shared" si="22"/>
        <v>15070.890230370371</v>
      </c>
      <c r="I143" s="118"/>
      <c r="J143" s="89">
        <f t="shared" si="23"/>
        <v>15070.890230370371</v>
      </c>
      <c r="K143" s="89">
        <f t="shared" si="24"/>
        <v>10291.979209090679</v>
      </c>
      <c r="L143" s="89">
        <f t="shared" si="25"/>
        <v>4778.9110212796913</v>
      </c>
      <c r="M143" s="118">
        <f t="shared" si="18"/>
        <v>509820.04943325429</v>
      </c>
      <c r="N143" s="110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</row>
    <row r="144" spans="1:34" ht="18" customHeight="1" x14ac:dyDescent="0.25">
      <c r="A144" s="1"/>
      <c r="B144" s="1"/>
      <c r="C144" s="2"/>
      <c r="D144" s="143"/>
      <c r="E144" s="88">
        <f t="shared" si="19"/>
        <v>64</v>
      </c>
      <c r="F144" s="90">
        <f t="shared" si="20"/>
        <v>46631</v>
      </c>
      <c r="G144" s="89">
        <f t="shared" si="21"/>
        <v>509820.04943325429</v>
      </c>
      <c r="H144" s="89">
        <f t="shared" si="22"/>
        <v>15070.890230370371</v>
      </c>
      <c r="I144" s="118"/>
      <c r="J144" s="89">
        <f t="shared" si="23"/>
        <v>15070.890230370371</v>
      </c>
      <c r="K144" s="89">
        <f t="shared" si="24"/>
        <v>10196.400988665086</v>
      </c>
      <c r="L144" s="89">
        <f t="shared" si="25"/>
        <v>4874.4892417052852</v>
      </c>
      <c r="M144" s="118">
        <f t="shared" si="18"/>
        <v>504945.56019154901</v>
      </c>
      <c r="N144" s="110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</row>
    <row r="145" spans="1:34" ht="18" customHeight="1" x14ac:dyDescent="0.25">
      <c r="A145" s="1"/>
      <c r="B145" s="1"/>
      <c r="C145" s="2"/>
      <c r="D145" s="143"/>
      <c r="E145" s="88">
        <f t="shared" si="19"/>
        <v>65</v>
      </c>
      <c r="F145" s="90">
        <f t="shared" si="20"/>
        <v>46661</v>
      </c>
      <c r="G145" s="89">
        <f t="shared" si="21"/>
        <v>504945.56019154901</v>
      </c>
      <c r="H145" s="89">
        <f t="shared" si="22"/>
        <v>15070.890230370371</v>
      </c>
      <c r="I145" s="118"/>
      <c r="J145" s="89">
        <f t="shared" si="23"/>
        <v>15070.890230370371</v>
      </c>
      <c r="K145" s="89">
        <f t="shared" si="24"/>
        <v>10098.911203830981</v>
      </c>
      <c r="L145" s="89">
        <f t="shared" si="25"/>
        <v>4971.9790265393895</v>
      </c>
      <c r="M145" s="118">
        <f t="shared" si="18"/>
        <v>499973.58116500964</v>
      </c>
      <c r="N145" s="110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</row>
    <row r="146" spans="1:34" ht="18" customHeight="1" x14ac:dyDescent="0.25">
      <c r="A146" s="1"/>
      <c r="B146" s="1"/>
      <c r="C146" s="2"/>
      <c r="D146" s="143"/>
      <c r="E146" s="88">
        <f t="shared" si="19"/>
        <v>66</v>
      </c>
      <c r="F146" s="90">
        <f t="shared" si="20"/>
        <v>46692</v>
      </c>
      <c r="G146" s="89">
        <f t="shared" si="21"/>
        <v>499973.58116500964</v>
      </c>
      <c r="H146" s="89">
        <f t="shared" si="22"/>
        <v>15070.890230370371</v>
      </c>
      <c r="I146" s="118"/>
      <c r="J146" s="89">
        <f t="shared" si="23"/>
        <v>15070.890230370371</v>
      </c>
      <c r="K146" s="89">
        <f t="shared" si="24"/>
        <v>9999.4716233001927</v>
      </c>
      <c r="L146" s="89">
        <f t="shared" si="25"/>
        <v>5071.418607070178</v>
      </c>
      <c r="M146" s="118">
        <f t="shared" si="18"/>
        <v>494902.16255793947</v>
      </c>
      <c r="N146" s="110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</row>
    <row r="147" spans="1:34" ht="18" customHeight="1" x14ac:dyDescent="0.25">
      <c r="A147" s="1"/>
      <c r="B147" s="1"/>
      <c r="C147" s="2"/>
      <c r="D147" s="143"/>
      <c r="E147" s="88">
        <f t="shared" si="19"/>
        <v>67</v>
      </c>
      <c r="F147" s="90">
        <f t="shared" si="20"/>
        <v>46722</v>
      </c>
      <c r="G147" s="89">
        <f t="shared" si="21"/>
        <v>494902.16255793947</v>
      </c>
      <c r="H147" s="89">
        <f t="shared" si="22"/>
        <v>15070.890230370371</v>
      </c>
      <c r="I147" s="118"/>
      <c r="J147" s="89">
        <f t="shared" si="23"/>
        <v>15070.890230370371</v>
      </c>
      <c r="K147" s="89">
        <f t="shared" si="24"/>
        <v>9898.0432511587896</v>
      </c>
      <c r="L147" s="89">
        <f t="shared" si="25"/>
        <v>5172.8469792115811</v>
      </c>
      <c r="M147" s="118">
        <f t="shared" si="18"/>
        <v>489729.31557872787</v>
      </c>
      <c r="N147" s="110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</row>
    <row r="148" spans="1:34" ht="18" customHeight="1" x14ac:dyDescent="0.25">
      <c r="A148" s="1"/>
      <c r="B148" s="1"/>
      <c r="C148" s="2"/>
      <c r="D148" s="143"/>
      <c r="E148" s="88">
        <f t="shared" si="19"/>
        <v>68</v>
      </c>
      <c r="F148" s="90">
        <f t="shared" si="20"/>
        <v>46753</v>
      </c>
      <c r="G148" s="89">
        <f t="shared" si="21"/>
        <v>489729.31557872787</v>
      </c>
      <c r="H148" s="89">
        <f t="shared" si="22"/>
        <v>15070.890230370371</v>
      </c>
      <c r="I148" s="118"/>
      <c r="J148" s="89">
        <f t="shared" si="23"/>
        <v>15070.890230370371</v>
      </c>
      <c r="K148" s="89">
        <f t="shared" si="24"/>
        <v>9794.5863115745578</v>
      </c>
      <c r="L148" s="89">
        <f t="shared" si="25"/>
        <v>5276.3039187958129</v>
      </c>
      <c r="M148" s="118">
        <f t="shared" si="18"/>
        <v>484453.01165993203</v>
      </c>
      <c r="N148" s="110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</row>
    <row r="149" spans="1:34" ht="18" customHeight="1" x14ac:dyDescent="0.25">
      <c r="A149" s="1"/>
      <c r="B149" s="1"/>
      <c r="C149" s="2"/>
      <c r="D149" s="143"/>
      <c r="E149" s="88">
        <f t="shared" si="19"/>
        <v>69</v>
      </c>
      <c r="F149" s="90">
        <f t="shared" si="20"/>
        <v>46784</v>
      </c>
      <c r="G149" s="89">
        <f t="shared" si="21"/>
        <v>484453.01165993203</v>
      </c>
      <c r="H149" s="89">
        <f t="shared" si="22"/>
        <v>15070.890230370371</v>
      </c>
      <c r="I149" s="118"/>
      <c r="J149" s="89">
        <f t="shared" si="23"/>
        <v>15070.890230370371</v>
      </c>
      <c r="K149" s="89">
        <f t="shared" si="24"/>
        <v>9689.0602331986411</v>
      </c>
      <c r="L149" s="89">
        <f t="shared" si="25"/>
        <v>5381.8299971717297</v>
      </c>
      <c r="M149" s="118">
        <f t="shared" si="18"/>
        <v>479071.18166276033</v>
      </c>
      <c r="N149" s="110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</row>
    <row r="150" spans="1:34" ht="18" customHeight="1" x14ac:dyDescent="0.25">
      <c r="A150" s="1"/>
      <c r="B150" s="1"/>
      <c r="C150" s="2"/>
      <c r="D150" s="143"/>
      <c r="E150" s="88">
        <f t="shared" si="19"/>
        <v>70</v>
      </c>
      <c r="F150" s="90">
        <f t="shared" si="20"/>
        <v>46813</v>
      </c>
      <c r="G150" s="89">
        <f t="shared" si="21"/>
        <v>479071.18166276033</v>
      </c>
      <c r="H150" s="89">
        <f t="shared" si="22"/>
        <v>15070.890230370371</v>
      </c>
      <c r="I150" s="118"/>
      <c r="J150" s="89">
        <f t="shared" si="23"/>
        <v>15070.890230370371</v>
      </c>
      <c r="K150" s="89">
        <f t="shared" si="24"/>
        <v>9581.4236332552064</v>
      </c>
      <c r="L150" s="89">
        <f t="shared" si="25"/>
        <v>5489.4665971151644</v>
      </c>
      <c r="M150" s="118">
        <f t="shared" si="18"/>
        <v>473581.71506564517</v>
      </c>
      <c r="N150" s="110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</row>
    <row r="151" spans="1:34" ht="18" customHeight="1" x14ac:dyDescent="0.25">
      <c r="A151" s="1"/>
      <c r="B151" s="1"/>
      <c r="C151" s="2"/>
      <c r="D151" s="143"/>
      <c r="E151" s="88">
        <f t="shared" si="19"/>
        <v>71</v>
      </c>
      <c r="F151" s="90">
        <f t="shared" si="20"/>
        <v>46844</v>
      </c>
      <c r="G151" s="89">
        <f t="shared" si="21"/>
        <v>473581.71506564517</v>
      </c>
      <c r="H151" s="89">
        <f t="shared" si="22"/>
        <v>15070.890230370371</v>
      </c>
      <c r="I151" s="118"/>
      <c r="J151" s="89">
        <f t="shared" si="23"/>
        <v>15070.890230370371</v>
      </c>
      <c r="K151" s="89">
        <f t="shared" si="24"/>
        <v>9471.6343013129044</v>
      </c>
      <c r="L151" s="89">
        <f t="shared" si="25"/>
        <v>5599.2559290574663</v>
      </c>
      <c r="M151" s="118">
        <f t="shared" si="18"/>
        <v>467982.45913658768</v>
      </c>
      <c r="N151" s="110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</row>
    <row r="152" spans="1:34" ht="18" customHeight="1" x14ac:dyDescent="0.25">
      <c r="A152" s="1"/>
      <c r="B152" s="1"/>
      <c r="C152" s="2"/>
      <c r="D152" s="143"/>
      <c r="E152" s="88">
        <f t="shared" si="19"/>
        <v>72</v>
      </c>
      <c r="F152" s="90">
        <f t="shared" si="20"/>
        <v>46874</v>
      </c>
      <c r="G152" s="89">
        <f t="shared" si="21"/>
        <v>467982.45913658768</v>
      </c>
      <c r="H152" s="89">
        <f t="shared" si="22"/>
        <v>15070.890230370371</v>
      </c>
      <c r="I152" s="118"/>
      <c r="J152" s="89">
        <f t="shared" si="23"/>
        <v>15070.890230370371</v>
      </c>
      <c r="K152" s="89">
        <f t="shared" si="24"/>
        <v>9359.6491827317532</v>
      </c>
      <c r="L152" s="89">
        <f t="shared" si="25"/>
        <v>5711.2410476386176</v>
      </c>
      <c r="M152" s="118">
        <f t="shared" si="18"/>
        <v>462271.21808894904</v>
      </c>
      <c r="N152" s="110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</row>
    <row r="153" spans="1:34" ht="18" customHeight="1" x14ac:dyDescent="0.25">
      <c r="A153" s="1"/>
      <c r="B153" s="1"/>
      <c r="C153" s="2"/>
      <c r="D153" s="143"/>
      <c r="E153" s="88">
        <f t="shared" si="19"/>
        <v>73</v>
      </c>
      <c r="F153" s="90">
        <f t="shared" si="20"/>
        <v>46905</v>
      </c>
      <c r="G153" s="89">
        <f t="shared" si="21"/>
        <v>462271.21808894904</v>
      </c>
      <c r="H153" s="89">
        <f t="shared" si="22"/>
        <v>15070.890230370371</v>
      </c>
      <c r="I153" s="118"/>
      <c r="J153" s="89">
        <f t="shared" si="23"/>
        <v>15070.890230370371</v>
      </c>
      <c r="K153" s="89">
        <f t="shared" si="24"/>
        <v>9245.4243617789816</v>
      </c>
      <c r="L153" s="89">
        <f t="shared" si="25"/>
        <v>5825.4658685913892</v>
      </c>
      <c r="M153" s="119">
        <f t="shared" si="18"/>
        <v>456445.75222035765</v>
      </c>
      <c r="N153" s="110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</row>
    <row r="154" spans="1:34" ht="18" customHeight="1" x14ac:dyDescent="0.25">
      <c r="A154" s="1"/>
      <c r="B154" s="1"/>
      <c r="C154" s="2"/>
      <c r="D154" s="143"/>
      <c r="E154" s="88">
        <f t="shared" si="19"/>
        <v>74</v>
      </c>
      <c r="F154" s="90">
        <f t="shared" si="20"/>
        <v>46935</v>
      </c>
      <c r="G154" s="89">
        <f t="shared" si="21"/>
        <v>456445.75222035765</v>
      </c>
      <c r="H154" s="89">
        <f t="shared" si="22"/>
        <v>15070.890230370371</v>
      </c>
      <c r="I154" s="118"/>
      <c r="J154" s="89">
        <f t="shared" si="23"/>
        <v>15070.890230370371</v>
      </c>
      <c r="K154" s="89">
        <f t="shared" si="24"/>
        <v>9128.9150444071529</v>
      </c>
      <c r="L154" s="89">
        <f t="shared" si="25"/>
        <v>5941.9751859632179</v>
      </c>
      <c r="M154" s="118">
        <f t="shared" si="18"/>
        <v>450503.77703439444</v>
      </c>
      <c r="N154" s="110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</row>
    <row r="155" spans="1:34" ht="18" customHeight="1" x14ac:dyDescent="0.25">
      <c r="A155" s="1"/>
      <c r="B155" s="1"/>
      <c r="C155" s="2"/>
      <c r="D155" s="143"/>
      <c r="E155" s="88">
        <f t="shared" si="19"/>
        <v>75</v>
      </c>
      <c r="F155" s="90">
        <f t="shared" si="20"/>
        <v>46966</v>
      </c>
      <c r="G155" s="89">
        <f t="shared" si="21"/>
        <v>450503.77703439444</v>
      </c>
      <c r="H155" s="89">
        <f t="shared" si="22"/>
        <v>15070.890230370371</v>
      </c>
      <c r="I155" s="118"/>
      <c r="J155" s="89">
        <f t="shared" si="23"/>
        <v>15070.890230370371</v>
      </c>
      <c r="K155" s="89">
        <f t="shared" si="24"/>
        <v>9010.0755406878889</v>
      </c>
      <c r="L155" s="89">
        <f t="shared" si="25"/>
        <v>6060.8146896824819</v>
      </c>
      <c r="M155" s="118">
        <f t="shared" si="18"/>
        <v>444442.96234471194</v>
      </c>
      <c r="N155" s="110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</row>
    <row r="156" spans="1:34" ht="18" customHeight="1" x14ac:dyDescent="0.25">
      <c r="A156" s="1"/>
      <c r="B156" s="1"/>
      <c r="C156" s="2"/>
      <c r="D156" s="143"/>
      <c r="E156" s="88">
        <f t="shared" si="19"/>
        <v>76</v>
      </c>
      <c r="F156" s="90">
        <f t="shared" si="20"/>
        <v>46997</v>
      </c>
      <c r="G156" s="89">
        <f t="shared" si="21"/>
        <v>444442.96234471194</v>
      </c>
      <c r="H156" s="89">
        <f t="shared" si="22"/>
        <v>15070.890230370371</v>
      </c>
      <c r="I156" s="118"/>
      <c r="J156" s="89">
        <f t="shared" si="23"/>
        <v>15070.890230370371</v>
      </c>
      <c r="K156" s="89">
        <f t="shared" si="24"/>
        <v>8888.8592468942388</v>
      </c>
      <c r="L156" s="89">
        <f t="shared" si="25"/>
        <v>6182.030983476132</v>
      </c>
      <c r="M156" s="118">
        <f t="shared" si="18"/>
        <v>438260.93136123579</v>
      </c>
      <c r="N156" s="110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</row>
    <row r="157" spans="1:34" ht="18" customHeight="1" x14ac:dyDescent="0.25">
      <c r="A157" s="1"/>
      <c r="B157" s="1"/>
      <c r="C157" s="2"/>
      <c r="D157" s="143"/>
      <c r="E157" s="88">
        <f t="shared" si="19"/>
        <v>77</v>
      </c>
      <c r="F157" s="90">
        <f t="shared" si="20"/>
        <v>47027</v>
      </c>
      <c r="G157" s="89">
        <f t="shared" si="21"/>
        <v>438260.93136123579</v>
      </c>
      <c r="H157" s="89">
        <f t="shared" si="22"/>
        <v>15070.890230370371</v>
      </c>
      <c r="I157" s="118"/>
      <c r="J157" s="89">
        <f t="shared" si="23"/>
        <v>15070.890230370371</v>
      </c>
      <c r="K157" s="89">
        <f t="shared" si="24"/>
        <v>8765.2186272247163</v>
      </c>
      <c r="L157" s="89">
        <f t="shared" si="25"/>
        <v>6305.6716031456544</v>
      </c>
      <c r="M157" s="118">
        <f t="shared" si="18"/>
        <v>431955.25975809013</v>
      </c>
      <c r="N157" s="110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</row>
    <row r="158" spans="1:34" ht="18" customHeight="1" x14ac:dyDescent="0.25">
      <c r="A158" s="1"/>
      <c r="B158" s="1"/>
      <c r="C158" s="2"/>
      <c r="D158" s="143"/>
      <c r="E158" s="88">
        <f t="shared" si="19"/>
        <v>78</v>
      </c>
      <c r="F158" s="90">
        <f t="shared" si="20"/>
        <v>47058</v>
      </c>
      <c r="G158" s="89">
        <f t="shared" si="21"/>
        <v>431955.25975809013</v>
      </c>
      <c r="H158" s="89">
        <f t="shared" si="22"/>
        <v>15070.890230370371</v>
      </c>
      <c r="I158" s="118"/>
      <c r="J158" s="89">
        <f t="shared" si="23"/>
        <v>15070.890230370371</v>
      </c>
      <c r="K158" s="89">
        <f t="shared" si="24"/>
        <v>8639.1051951618028</v>
      </c>
      <c r="L158" s="89">
        <f t="shared" si="25"/>
        <v>6431.7850352085679</v>
      </c>
      <c r="M158" s="118">
        <f t="shared" si="18"/>
        <v>425523.47472288157</v>
      </c>
      <c r="N158" s="110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</row>
    <row r="159" spans="1:34" ht="18" customHeight="1" x14ac:dyDescent="0.25">
      <c r="A159" s="1"/>
      <c r="B159" s="1"/>
      <c r="C159" s="2"/>
      <c r="D159" s="143"/>
      <c r="E159" s="88">
        <f t="shared" si="19"/>
        <v>79</v>
      </c>
      <c r="F159" s="90">
        <f t="shared" si="20"/>
        <v>47088</v>
      </c>
      <c r="G159" s="89">
        <f t="shared" si="21"/>
        <v>425523.47472288157</v>
      </c>
      <c r="H159" s="89">
        <f t="shared" si="22"/>
        <v>15070.890230370371</v>
      </c>
      <c r="I159" s="118"/>
      <c r="J159" s="89">
        <f t="shared" si="23"/>
        <v>15070.890230370371</v>
      </c>
      <c r="K159" s="89">
        <f t="shared" si="24"/>
        <v>8510.4694944576313</v>
      </c>
      <c r="L159" s="89">
        <f t="shared" si="25"/>
        <v>6560.4207359127395</v>
      </c>
      <c r="M159" s="118">
        <f t="shared" si="18"/>
        <v>418963.05398696882</v>
      </c>
      <c r="N159" s="110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</row>
    <row r="160" spans="1:34" ht="18" customHeight="1" x14ac:dyDescent="0.25">
      <c r="A160" s="1"/>
      <c r="B160" s="1"/>
      <c r="C160" s="2"/>
      <c r="D160" s="143"/>
      <c r="E160" s="88">
        <f t="shared" si="19"/>
        <v>80</v>
      </c>
      <c r="F160" s="90">
        <f t="shared" si="20"/>
        <v>47119</v>
      </c>
      <c r="G160" s="89">
        <f t="shared" si="21"/>
        <v>418963.05398696882</v>
      </c>
      <c r="H160" s="89">
        <f t="shared" si="22"/>
        <v>15070.890230370371</v>
      </c>
      <c r="I160" s="118"/>
      <c r="J160" s="89">
        <f t="shared" si="23"/>
        <v>15070.890230370371</v>
      </c>
      <c r="K160" s="89">
        <f t="shared" si="24"/>
        <v>8379.2610797393772</v>
      </c>
      <c r="L160" s="89">
        <f t="shared" si="25"/>
        <v>6691.6291506309935</v>
      </c>
      <c r="M160" s="118">
        <f t="shared" si="18"/>
        <v>412271.4248363378</v>
      </c>
      <c r="N160" s="110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</row>
    <row r="161" spans="1:34" ht="18" customHeight="1" x14ac:dyDescent="0.25">
      <c r="A161" s="1"/>
      <c r="B161" s="1"/>
      <c r="C161" s="2"/>
      <c r="D161" s="143"/>
      <c r="E161" s="88">
        <f t="shared" si="19"/>
        <v>81</v>
      </c>
      <c r="F161" s="90">
        <f t="shared" si="20"/>
        <v>47150</v>
      </c>
      <c r="G161" s="89">
        <f t="shared" si="21"/>
        <v>412271.4248363378</v>
      </c>
      <c r="H161" s="89">
        <f t="shared" si="22"/>
        <v>15070.890230370371</v>
      </c>
      <c r="I161" s="118"/>
      <c r="J161" s="89">
        <f t="shared" si="23"/>
        <v>15070.890230370371</v>
      </c>
      <c r="K161" s="89">
        <f t="shared" si="24"/>
        <v>8245.4284967267558</v>
      </c>
      <c r="L161" s="89">
        <f t="shared" si="25"/>
        <v>6825.4617336436149</v>
      </c>
      <c r="M161" s="118">
        <f t="shared" si="18"/>
        <v>405445.96310269419</v>
      </c>
      <c r="N161" s="110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</row>
    <row r="162" spans="1:34" ht="18" customHeight="1" x14ac:dyDescent="0.25">
      <c r="A162" s="1"/>
      <c r="B162" s="1"/>
      <c r="C162" s="2"/>
      <c r="D162" s="143"/>
      <c r="E162" s="88">
        <f t="shared" si="19"/>
        <v>82</v>
      </c>
      <c r="F162" s="90">
        <f t="shared" si="20"/>
        <v>47178</v>
      </c>
      <c r="G162" s="89">
        <f t="shared" si="21"/>
        <v>405445.96310269419</v>
      </c>
      <c r="H162" s="89">
        <f t="shared" si="22"/>
        <v>15070.890230370371</v>
      </c>
      <c r="I162" s="118"/>
      <c r="J162" s="89">
        <f t="shared" si="23"/>
        <v>15070.890230370371</v>
      </c>
      <c r="K162" s="89">
        <f t="shared" si="24"/>
        <v>8108.9192620538843</v>
      </c>
      <c r="L162" s="89">
        <f t="shared" si="25"/>
        <v>6961.9709683164865</v>
      </c>
      <c r="M162" s="118">
        <f t="shared" si="18"/>
        <v>398483.99213437771</v>
      </c>
      <c r="N162" s="110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</row>
    <row r="163" spans="1:34" ht="18" customHeight="1" x14ac:dyDescent="0.25">
      <c r="A163" s="1"/>
      <c r="B163" s="1"/>
      <c r="C163" s="2"/>
      <c r="D163" s="143"/>
      <c r="E163" s="88">
        <f t="shared" si="19"/>
        <v>83</v>
      </c>
      <c r="F163" s="90">
        <f t="shared" si="20"/>
        <v>47209</v>
      </c>
      <c r="G163" s="89">
        <f t="shared" si="21"/>
        <v>398483.99213437771</v>
      </c>
      <c r="H163" s="89">
        <f t="shared" si="22"/>
        <v>15070.890230370371</v>
      </c>
      <c r="I163" s="118"/>
      <c r="J163" s="89">
        <f t="shared" si="23"/>
        <v>15070.890230370371</v>
      </c>
      <c r="K163" s="89">
        <f t="shared" si="24"/>
        <v>7969.6798426875548</v>
      </c>
      <c r="L163" s="89">
        <f t="shared" si="25"/>
        <v>7101.210387682816</v>
      </c>
      <c r="M163" s="118">
        <f t="shared" si="18"/>
        <v>391382.78174669488</v>
      </c>
      <c r="N163" s="110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</row>
    <row r="164" spans="1:34" ht="18" customHeight="1" x14ac:dyDescent="0.25">
      <c r="A164" s="1"/>
      <c r="B164" s="1"/>
      <c r="C164" s="2"/>
      <c r="D164" s="143"/>
      <c r="E164" s="88">
        <f t="shared" si="19"/>
        <v>84</v>
      </c>
      <c r="F164" s="90">
        <f t="shared" si="20"/>
        <v>47239</v>
      </c>
      <c r="G164" s="89">
        <f t="shared" si="21"/>
        <v>391382.78174669488</v>
      </c>
      <c r="H164" s="89">
        <f t="shared" si="22"/>
        <v>15070.890230370371</v>
      </c>
      <c r="I164" s="118"/>
      <c r="J164" s="89">
        <f t="shared" si="23"/>
        <v>15070.890230370371</v>
      </c>
      <c r="K164" s="89">
        <f t="shared" si="24"/>
        <v>7827.655634933898</v>
      </c>
      <c r="L164" s="89">
        <f t="shared" si="25"/>
        <v>7243.2345954364728</v>
      </c>
      <c r="M164" s="118">
        <f t="shared" si="18"/>
        <v>384139.54715125839</v>
      </c>
      <c r="N164" s="110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</row>
    <row r="165" spans="1:34" ht="18" customHeight="1" x14ac:dyDescent="0.25">
      <c r="A165" s="1"/>
      <c r="B165" s="1"/>
      <c r="C165" s="2"/>
      <c r="D165" s="143"/>
      <c r="E165" s="88">
        <f t="shared" si="19"/>
        <v>85</v>
      </c>
      <c r="F165" s="90">
        <f t="shared" si="20"/>
        <v>47270</v>
      </c>
      <c r="G165" s="89">
        <f t="shared" si="21"/>
        <v>384139.54715125839</v>
      </c>
      <c r="H165" s="89">
        <f t="shared" si="22"/>
        <v>15070.890230370371</v>
      </c>
      <c r="I165" s="118"/>
      <c r="J165" s="89">
        <f t="shared" si="23"/>
        <v>15070.890230370371</v>
      </c>
      <c r="K165" s="89">
        <f t="shared" si="24"/>
        <v>7682.7909430251675</v>
      </c>
      <c r="L165" s="89">
        <f t="shared" si="25"/>
        <v>7388.0992873452033</v>
      </c>
      <c r="M165" s="118">
        <f t="shared" si="18"/>
        <v>376751.4478639132</v>
      </c>
      <c r="N165" s="110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</row>
    <row r="166" spans="1:34" ht="18" customHeight="1" x14ac:dyDescent="0.25">
      <c r="A166" s="1"/>
      <c r="B166" s="1"/>
      <c r="C166" s="2"/>
      <c r="D166" s="143"/>
      <c r="E166" s="88">
        <f t="shared" si="19"/>
        <v>86</v>
      </c>
      <c r="F166" s="90">
        <f t="shared" si="20"/>
        <v>47300</v>
      </c>
      <c r="G166" s="89">
        <f t="shared" si="21"/>
        <v>376751.4478639132</v>
      </c>
      <c r="H166" s="89">
        <f t="shared" si="22"/>
        <v>15070.890230370371</v>
      </c>
      <c r="I166" s="118"/>
      <c r="J166" s="89">
        <f t="shared" si="23"/>
        <v>15070.890230370371</v>
      </c>
      <c r="K166" s="89">
        <f t="shared" si="24"/>
        <v>7535.028957278264</v>
      </c>
      <c r="L166" s="89">
        <f t="shared" si="25"/>
        <v>7535.8612730921068</v>
      </c>
      <c r="M166" s="118">
        <f t="shared" si="18"/>
        <v>369215.5865908211</v>
      </c>
      <c r="N166" s="110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</row>
    <row r="167" spans="1:34" ht="18" customHeight="1" x14ac:dyDescent="0.25">
      <c r="A167" s="1"/>
      <c r="B167" s="1"/>
      <c r="C167" s="2"/>
      <c r="D167" s="143"/>
      <c r="E167" s="88">
        <f t="shared" si="19"/>
        <v>87</v>
      </c>
      <c r="F167" s="90">
        <f t="shared" si="20"/>
        <v>47331</v>
      </c>
      <c r="G167" s="89">
        <f t="shared" si="21"/>
        <v>369215.5865908211</v>
      </c>
      <c r="H167" s="89">
        <f t="shared" si="22"/>
        <v>15070.890230370371</v>
      </c>
      <c r="I167" s="118"/>
      <c r="J167" s="89">
        <f t="shared" si="23"/>
        <v>15070.890230370371</v>
      </c>
      <c r="K167" s="89">
        <f t="shared" si="24"/>
        <v>7384.3117318164223</v>
      </c>
      <c r="L167" s="89">
        <f t="shared" si="25"/>
        <v>7686.5784985539485</v>
      </c>
      <c r="M167" s="118">
        <f t="shared" si="18"/>
        <v>361529.00809226715</v>
      </c>
      <c r="N167" s="110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</row>
    <row r="168" spans="1:34" ht="18" customHeight="1" x14ac:dyDescent="0.25">
      <c r="A168" s="1"/>
      <c r="B168" s="1"/>
      <c r="C168" s="2"/>
      <c r="D168" s="143"/>
      <c r="E168" s="88">
        <f t="shared" si="19"/>
        <v>88</v>
      </c>
      <c r="F168" s="90">
        <f t="shared" si="20"/>
        <v>47362</v>
      </c>
      <c r="G168" s="89">
        <f t="shared" si="21"/>
        <v>361529.00809226715</v>
      </c>
      <c r="H168" s="89">
        <f t="shared" si="22"/>
        <v>15070.890230370371</v>
      </c>
      <c r="I168" s="118"/>
      <c r="J168" s="89">
        <f t="shared" si="23"/>
        <v>15070.890230370371</v>
      </c>
      <c r="K168" s="89">
        <f t="shared" si="24"/>
        <v>7230.5801618453434</v>
      </c>
      <c r="L168" s="89">
        <f t="shared" si="25"/>
        <v>7840.3100685250274</v>
      </c>
      <c r="M168" s="118">
        <f t="shared" si="18"/>
        <v>353688.69802374212</v>
      </c>
      <c r="N168" s="110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</row>
    <row r="169" spans="1:34" ht="18" customHeight="1" x14ac:dyDescent="0.25">
      <c r="A169" s="1"/>
      <c r="B169" s="1"/>
      <c r="C169" s="2"/>
      <c r="D169" s="143"/>
      <c r="E169" s="88">
        <f t="shared" si="19"/>
        <v>89</v>
      </c>
      <c r="F169" s="90">
        <f t="shared" si="20"/>
        <v>47392</v>
      </c>
      <c r="G169" s="89">
        <f t="shared" si="21"/>
        <v>353688.69802374212</v>
      </c>
      <c r="H169" s="89">
        <f t="shared" si="22"/>
        <v>15070.890230370371</v>
      </c>
      <c r="I169" s="118"/>
      <c r="J169" s="89">
        <f t="shared" si="23"/>
        <v>15070.890230370371</v>
      </c>
      <c r="K169" s="89">
        <f t="shared" si="24"/>
        <v>7073.7739604748422</v>
      </c>
      <c r="L169" s="89">
        <f t="shared" si="25"/>
        <v>7997.1162698955286</v>
      </c>
      <c r="M169" s="118">
        <f t="shared" si="18"/>
        <v>345691.58175384661</v>
      </c>
      <c r="N169" s="110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</row>
    <row r="170" spans="1:34" ht="18" customHeight="1" x14ac:dyDescent="0.25">
      <c r="A170" s="1"/>
      <c r="B170" s="1"/>
      <c r="C170" s="2"/>
      <c r="D170" s="143"/>
      <c r="E170" s="88">
        <f t="shared" si="19"/>
        <v>90</v>
      </c>
      <c r="F170" s="90">
        <f t="shared" si="20"/>
        <v>47423</v>
      </c>
      <c r="G170" s="89">
        <f t="shared" si="21"/>
        <v>345691.58175384661</v>
      </c>
      <c r="H170" s="89">
        <f t="shared" si="22"/>
        <v>15070.890230370371</v>
      </c>
      <c r="I170" s="118"/>
      <c r="J170" s="89">
        <f t="shared" si="23"/>
        <v>15070.890230370371</v>
      </c>
      <c r="K170" s="89">
        <f t="shared" si="24"/>
        <v>6913.8316350769319</v>
      </c>
      <c r="L170" s="89">
        <f t="shared" si="25"/>
        <v>8157.0585952934389</v>
      </c>
      <c r="M170" s="118">
        <f t="shared" si="18"/>
        <v>337534.52315855317</v>
      </c>
      <c r="N170" s="110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</row>
    <row r="171" spans="1:34" ht="18" customHeight="1" x14ac:dyDescent="0.25">
      <c r="A171" s="1"/>
      <c r="B171" s="1"/>
      <c r="C171" s="2"/>
      <c r="D171" s="143"/>
      <c r="E171" s="88">
        <f t="shared" si="19"/>
        <v>91</v>
      </c>
      <c r="F171" s="90">
        <f t="shared" si="20"/>
        <v>47453</v>
      </c>
      <c r="G171" s="89">
        <f t="shared" si="21"/>
        <v>337534.52315855317</v>
      </c>
      <c r="H171" s="89">
        <f t="shared" si="22"/>
        <v>15070.890230370371</v>
      </c>
      <c r="I171" s="118"/>
      <c r="J171" s="89">
        <f t="shared" si="23"/>
        <v>15070.890230370371</v>
      </c>
      <c r="K171" s="89">
        <f t="shared" si="24"/>
        <v>6750.690463171064</v>
      </c>
      <c r="L171" s="89">
        <f t="shared" si="25"/>
        <v>8320.1997671993067</v>
      </c>
      <c r="M171" s="118">
        <f t="shared" si="18"/>
        <v>329214.32339135389</v>
      </c>
      <c r="N171" s="110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</row>
    <row r="172" spans="1:34" ht="18" customHeight="1" x14ac:dyDescent="0.25">
      <c r="A172" s="1"/>
      <c r="B172" s="1"/>
      <c r="C172" s="2"/>
      <c r="D172" s="143"/>
      <c r="E172" s="88">
        <f t="shared" si="19"/>
        <v>92</v>
      </c>
      <c r="F172" s="90">
        <f t="shared" si="20"/>
        <v>47484</v>
      </c>
      <c r="G172" s="89">
        <f t="shared" si="21"/>
        <v>329214.32339135389</v>
      </c>
      <c r="H172" s="89">
        <f t="shared" si="22"/>
        <v>15070.890230370371</v>
      </c>
      <c r="I172" s="118"/>
      <c r="J172" s="89">
        <f t="shared" si="23"/>
        <v>15070.890230370371</v>
      </c>
      <c r="K172" s="89">
        <f t="shared" si="24"/>
        <v>6584.286467827078</v>
      </c>
      <c r="L172" s="89">
        <f t="shared" si="25"/>
        <v>8486.6037625432928</v>
      </c>
      <c r="M172" s="118">
        <f t="shared" si="18"/>
        <v>320727.71962881059</v>
      </c>
      <c r="N172" s="110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</row>
    <row r="173" spans="1:34" ht="18" customHeight="1" x14ac:dyDescent="0.25">
      <c r="A173" s="1"/>
      <c r="B173" s="1"/>
      <c r="C173" s="2"/>
      <c r="D173" s="143"/>
      <c r="E173" s="88">
        <f t="shared" si="19"/>
        <v>93</v>
      </c>
      <c r="F173" s="90">
        <f t="shared" si="20"/>
        <v>47515</v>
      </c>
      <c r="G173" s="89">
        <f t="shared" si="21"/>
        <v>320727.71962881059</v>
      </c>
      <c r="H173" s="89">
        <f t="shared" si="22"/>
        <v>15070.890230370371</v>
      </c>
      <c r="I173" s="118"/>
      <c r="J173" s="89">
        <f t="shared" si="23"/>
        <v>15070.890230370371</v>
      </c>
      <c r="K173" s="89">
        <f t="shared" si="24"/>
        <v>6414.5543925762122</v>
      </c>
      <c r="L173" s="89">
        <f t="shared" si="25"/>
        <v>8656.3358377941586</v>
      </c>
      <c r="M173" s="118">
        <f t="shared" si="18"/>
        <v>312071.38379101641</v>
      </c>
      <c r="N173" s="110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</row>
    <row r="174" spans="1:34" ht="18" customHeight="1" x14ac:dyDescent="0.25">
      <c r="A174" s="1"/>
      <c r="B174" s="1"/>
      <c r="C174" s="2"/>
      <c r="D174" s="143"/>
      <c r="E174" s="88">
        <f t="shared" si="19"/>
        <v>94</v>
      </c>
      <c r="F174" s="90">
        <f t="shared" si="20"/>
        <v>47543</v>
      </c>
      <c r="G174" s="89">
        <f t="shared" si="21"/>
        <v>312071.38379101641</v>
      </c>
      <c r="H174" s="89">
        <f t="shared" si="22"/>
        <v>15070.890230370371</v>
      </c>
      <c r="I174" s="118"/>
      <c r="J174" s="89">
        <f t="shared" si="23"/>
        <v>15070.890230370371</v>
      </c>
      <c r="K174" s="89">
        <f t="shared" si="24"/>
        <v>6241.4276758203287</v>
      </c>
      <c r="L174" s="89">
        <f t="shared" si="25"/>
        <v>8829.4625545500421</v>
      </c>
      <c r="M174" s="118">
        <f t="shared" si="18"/>
        <v>303241.92123646638</v>
      </c>
      <c r="N174" s="110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</row>
    <row r="175" spans="1:34" ht="18" customHeight="1" x14ac:dyDescent="0.25">
      <c r="A175" s="1"/>
      <c r="B175" s="1"/>
      <c r="C175" s="2"/>
      <c r="D175" s="143"/>
      <c r="E175" s="88">
        <f t="shared" si="19"/>
        <v>95</v>
      </c>
      <c r="F175" s="90">
        <f t="shared" si="20"/>
        <v>47574</v>
      </c>
      <c r="G175" s="89">
        <f t="shared" si="21"/>
        <v>303241.92123646638</v>
      </c>
      <c r="H175" s="89">
        <f t="shared" si="22"/>
        <v>15070.890230370371</v>
      </c>
      <c r="I175" s="118"/>
      <c r="J175" s="89">
        <f t="shared" si="23"/>
        <v>15070.890230370371</v>
      </c>
      <c r="K175" s="89">
        <f t="shared" si="24"/>
        <v>6064.8384247293279</v>
      </c>
      <c r="L175" s="89">
        <f t="shared" si="25"/>
        <v>9006.0518056410438</v>
      </c>
      <c r="M175" s="118">
        <f t="shared" si="18"/>
        <v>294235.86943082535</v>
      </c>
      <c r="N175" s="110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</row>
    <row r="176" spans="1:34" ht="18" customHeight="1" x14ac:dyDescent="0.25">
      <c r="A176" s="1"/>
      <c r="B176" s="1"/>
      <c r="C176" s="2"/>
      <c r="D176" s="143"/>
      <c r="E176" s="88">
        <f t="shared" si="19"/>
        <v>96</v>
      </c>
      <c r="F176" s="90">
        <f t="shared" si="20"/>
        <v>47604</v>
      </c>
      <c r="G176" s="89">
        <f t="shared" si="21"/>
        <v>294235.86943082535</v>
      </c>
      <c r="H176" s="89">
        <f t="shared" si="22"/>
        <v>15070.890230370371</v>
      </c>
      <c r="I176" s="118"/>
      <c r="J176" s="89">
        <f t="shared" si="23"/>
        <v>15070.890230370371</v>
      </c>
      <c r="K176" s="89">
        <f t="shared" si="24"/>
        <v>5884.7173886165074</v>
      </c>
      <c r="L176" s="89">
        <f t="shared" si="25"/>
        <v>9186.1728417538634</v>
      </c>
      <c r="M176" s="118">
        <f t="shared" si="18"/>
        <v>285049.69658907148</v>
      </c>
      <c r="N176" s="110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</row>
    <row r="177" spans="1:34" ht="18" customHeight="1" x14ac:dyDescent="0.25">
      <c r="A177" s="1"/>
      <c r="B177" s="1"/>
      <c r="C177" s="2"/>
      <c r="D177" s="143"/>
      <c r="E177" s="88">
        <f t="shared" si="19"/>
        <v>97</v>
      </c>
      <c r="F177" s="90">
        <f t="shared" si="20"/>
        <v>47635</v>
      </c>
      <c r="G177" s="89">
        <f t="shared" si="21"/>
        <v>285049.69658907148</v>
      </c>
      <c r="H177" s="89">
        <f t="shared" si="22"/>
        <v>15070.890230370371</v>
      </c>
      <c r="I177" s="118"/>
      <c r="J177" s="89">
        <f t="shared" si="23"/>
        <v>15070.890230370371</v>
      </c>
      <c r="K177" s="89">
        <f t="shared" si="24"/>
        <v>5700.9939317814296</v>
      </c>
      <c r="L177" s="89">
        <f t="shared" si="25"/>
        <v>9369.8962985889411</v>
      </c>
      <c r="M177" s="118">
        <f t="shared" si="18"/>
        <v>275679.80029048253</v>
      </c>
      <c r="N177" s="110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</row>
    <row r="178" spans="1:34" ht="18" customHeight="1" x14ac:dyDescent="0.25">
      <c r="A178" s="1"/>
      <c r="B178" s="1"/>
      <c r="C178" s="2"/>
      <c r="D178" s="143"/>
      <c r="E178" s="88">
        <f t="shared" si="19"/>
        <v>98</v>
      </c>
      <c r="F178" s="90">
        <f t="shared" si="20"/>
        <v>47665</v>
      </c>
      <c r="G178" s="89">
        <f t="shared" si="21"/>
        <v>275679.80029048253</v>
      </c>
      <c r="H178" s="89">
        <f t="shared" si="22"/>
        <v>15070.890230370371</v>
      </c>
      <c r="I178" s="118"/>
      <c r="J178" s="89">
        <f t="shared" si="23"/>
        <v>15070.890230370371</v>
      </c>
      <c r="K178" s="89">
        <f t="shared" si="24"/>
        <v>5513.5960058096507</v>
      </c>
      <c r="L178" s="89">
        <f t="shared" si="25"/>
        <v>9557.2942245607192</v>
      </c>
      <c r="M178" s="118">
        <f t="shared" si="18"/>
        <v>266122.5060659218</v>
      </c>
      <c r="N178" s="110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</row>
    <row r="179" spans="1:34" ht="18" customHeight="1" x14ac:dyDescent="0.25">
      <c r="A179" s="1"/>
      <c r="B179" s="1"/>
      <c r="C179" s="2"/>
      <c r="D179" s="143"/>
      <c r="E179" s="88">
        <f t="shared" si="19"/>
        <v>99</v>
      </c>
      <c r="F179" s="90">
        <f t="shared" si="20"/>
        <v>47696</v>
      </c>
      <c r="G179" s="89">
        <f t="shared" si="21"/>
        <v>266122.5060659218</v>
      </c>
      <c r="H179" s="89">
        <f t="shared" si="22"/>
        <v>15070.890230370371</v>
      </c>
      <c r="I179" s="118"/>
      <c r="J179" s="89">
        <f t="shared" si="23"/>
        <v>15070.890230370371</v>
      </c>
      <c r="K179" s="89">
        <f t="shared" si="24"/>
        <v>5322.4501213184358</v>
      </c>
      <c r="L179" s="89">
        <f t="shared" si="25"/>
        <v>9748.440109051935</v>
      </c>
      <c r="M179" s="118">
        <f t="shared" si="18"/>
        <v>256374.06595686986</v>
      </c>
      <c r="N179" s="110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</row>
    <row r="180" spans="1:34" ht="18" customHeight="1" x14ac:dyDescent="0.25">
      <c r="A180" s="1"/>
      <c r="B180" s="1"/>
      <c r="C180" s="2"/>
      <c r="D180" s="143"/>
      <c r="E180" s="88">
        <f t="shared" si="19"/>
        <v>100</v>
      </c>
      <c r="F180" s="90">
        <f t="shared" si="20"/>
        <v>47727</v>
      </c>
      <c r="G180" s="89">
        <f t="shared" si="21"/>
        <v>256374.06595686986</v>
      </c>
      <c r="H180" s="89">
        <f t="shared" si="22"/>
        <v>15070.890230370371</v>
      </c>
      <c r="I180" s="118"/>
      <c r="J180" s="89">
        <f t="shared" si="23"/>
        <v>15070.890230370371</v>
      </c>
      <c r="K180" s="89">
        <f t="shared" si="24"/>
        <v>5127.4813191373969</v>
      </c>
      <c r="L180" s="89">
        <f t="shared" si="25"/>
        <v>9943.4089112329748</v>
      </c>
      <c r="M180" s="118">
        <f t="shared" si="18"/>
        <v>246430.65704563688</v>
      </c>
      <c r="N180" s="110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</row>
    <row r="181" spans="1:34" ht="18" customHeight="1" x14ac:dyDescent="0.25">
      <c r="A181" s="1"/>
      <c r="B181" s="1"/>
      <c r="C181" s="2"/>
      <c r="D181" s="143"/>
      <c r="E181" s="88">
        <f t="shared" si="19"/>
        <v>101</v>
      </c>
      <c r="F181" s="90">
        <f t="shared" si="20"/>
        <v>47757</v>
      </c>
      <c r="G181" s="89">
        <f t="shared" si="21"/>
        <v>246430.65704563688</v>
      </c>
      <c r="H181" s="89">
        <f t="shared" si="22"/>
        <v>15070.890230370371</v>
      </c>
      <c r="I181" s="118"/>
      <c r="J181" s="89">
        <f t="shared" si="23"/>
        <v>15070.890230370371</v>
      </c>
      <c r="K181" s="89">
        <f t="shared" si="24"/>
        <v>4928.6131409127374</v>
      </c>
      <c r="L181" s="89">
        <f t="shared" si="25"/>
        <v>10142.277089457633</v>
      </c>
      <c r="M181" s="118">
        <f t="shared" si="18"/>
        <v>236288.37995617924</v>
      </c>
      <c r="N181" s="110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</row>
    <row r="182" spans="1:34" ht="18" customHeight="1" x14ac:dyDescent="0.25">
      <c r="A182" s="1"/>
      <c r="B182" s="1"/>
      <c r="C182" s="2"/>
      <c r="D182" s="143"/>
      <c r="E182" s="88">
        <f t="shared" si="19"/>
        <v>102</v>
      </c>
      <c r="F182" s="90">
        <f t="shared" si="20"/>
        <v>47788</v>
      </c>
      <c r="G182" s="89">
        <f t="shared" si="21"/>
        <v>236288.37995617924</v>
      </c>
      <c r="H182" s="89">
        <f t="shared" si="22"/>
        <v>15070.890230370371</v>
      </c>
      <c r="I182" s="118"/>
      <c r="J182" s="89">
        <f t="shared" si="23"/>
        <v>15070.890230370371</v>
      </c>
      <c r="K182" s="89">
        <f t="shared" si="24"/>
        <v>4725.7675991235847</v>
      </c>
      <c r="L182" s="89">
        <f t="shared" si="25"/>
        <v>10345.122631246786</v>
      </c>
      <c r="M182" s="118">
        <f t="shared" si="18"/>
        <v>225943.25732493246</v>
      </c>
      <c r="N182" s="110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</row>
    <row r="183" spans="1:34" ht="18" customHeight="1" x14ac:dyDescent="0.25">
      <c r="A183" s="1"/>
      <c r="B183" s="1"/>
      <c r="C183" s="2"/>
      <c r="D183" s="143"/>
      <c r="E183" s="88">
        <f t="shared" si="19"/>
        <v>103</v>
      </c>
      <c r="F183" s="90">
        <f t="shared" si="20"/>
        <v>47818</v>
      </c>
      <c r="G183" s="89">
        <f t="shared" si="21"/>
        <v>225943.25732493246</v>
      </c>
      <c r="H183" s="89">
        <f t="shared" ref="H183:H200" si="26">IF(E183&lt;121,(-PMT($H$110,$H$107,$H$106)))</f>
        <v>15070.890230370371</v>
      </c>
      <c r="I183" s="118"/>
      <c r="J183" s="89">
        <f t="shared" si="23"/>
        <v>15070.890230370371</v>
      </c>
      <c r="K183" s="89">
        <f t="shared" si="24"/>
        <v>4518.8651464986497</v>
      </c>
      <c r="L183" s="89">
        <f t="shared" si="25"/>
        <v>10552.025083871722</v>
      </c>
      <c r="M183" s="118">
        <f t="shared" si="18"/>
        <v>215391.23224106073</v>
      </c>
      <c r="N183" s="110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</row>
    <row r="184" spans="1:34" ht="18" customHeight="1" x14ac:dyDescent="0.25">
      <c r="A184" s="1"/>
      <c r="B184" s="1"/>
      <c r="C184" s="2"/>
      <c r="D184" s="143"/>
      <c r="E184" s="88">
        <f t="shared" si="19"/>
        <v>104</v>
      </c>
      <c r="F184" s="90">
        <f t="shared" si="20"/>
        <v>47849</v>
      </c>
      <c r="G184" s="89">
        <f t="shared" si="21"/>
        <v>215391.23224106073</v>
      </c>
      <c r="H184" s="89">
        <f t="shared" si="26"/>
        <v>15070.890230370371</v>
      </c>
      <c r="I184" s="118"/>
      <c r="J184" s="89">
        <f t="shared" si="23"/>
        <v>15070.890230370371</v>
      </c>
      <c r="K184" s="89">
        <f t="shared" si="24"/>
        <v>4307.8246448212149</v>
      </c>
      <c r="L184" s="89">
        <f t="shared" si="25"/>
        <v>10763.065585549157</v>
      </c>
      <c r="M184" s="118">
        <f t="shared" si="18"/>
        <v>204628.16665551157</v>
      </c>
      <c r="N184" s="110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</row>
    <row r="185" spans="1:34" ht="18" customHeight="1" x14ac:dyDescent="0.25">
      <c r="A185" s="1"/>
      <c r="B185" s="1"/>
      <c r="C185" s="2"/>
      <c r="D185" s="143"/>
      <c r="E185" s="88">
        <f t="shared" si="19"/>
        <v>105</v>
      </c>
      <c r="F185" s="90">
        <f t="shared" si="20"/>
        <v>47880</v>
      </c>
      <c r="G185" s="89">
        <f t="shared" si="21"/>
        <v>204628.16665551157</v>
      </c>
      <c r="H185" s="89">
        <f t="shared" si="26"/>
        <v>15070.890230370371</v>
      </c>
      <c r="I185" s="118"/>
      <c r="J185" s="89">
        <f t="shared" si="23"/>
        <v>15070.890230370371</v>
      </c>
      <c r="K185" s="89">
        <f t="shared" si="24"/>
        <v>4092.5633331102313</v>
      </c>
      <c r="L185" s="89">
        <f t="shared" si="25"/>
        <v>10978.32689726014</v>
      </c>
      <c r="M185" s="118">
        <f t="shared" si="18"/>
        <v>193649.83975825142</v>
      </c>
      <c r="N185" s="110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</row>
    <row r="186" spans="1:34" ht="18" customHeight="1" x14ac:dyDescent="0.25">
      <c r="A186" s="1"/>
      <c r="B186" s="1"/>
      <c r="C186" s="2"/>
      <c r="D186" s="143"/>
      <c r="E186" s="88">
        <f t="shared" si="19"/>
        <v>106</v>
      </c>
      <c r="F186" s="90">
        <f t="shared" si="20"/>
        <v>47908</v>
      </c>
      <c r="G186" s="89">
        <f t="shared" si="21"/>
        <v>193649.83975825142</v>
      </c>
      <c r="H186" s="89">
        <f t="shared" si="26"/>
        <v>15070.890230370371</v>
      </c>
      <c r="I186" s="118"/>
      <c r="J186" s="89">
        <f t="shared" si="23"/>
        <v>15070.890230370371</v>
      </c>
      <c r="K186" s="89">
        <f t="shared" si="24"/>
        <v>3872.9967951650283</v>
      </c>
      <c r="L186" s="89">
        <f t="shared" si="25"/>
        <v>11197.893435205342</v>
      </c>
      <c r="M186" s="118">
        <f t="shared" si="18"/>
        <v>182451.94632304608</v>
      </c>
      <c r="N186" s="110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</row>
    <row r="187" spans="1:34" ht="18" customHeight="1" x14ac:dyDescent="0.25">
      <c r="A187" s="1"/>
      <c r="B187" s="1"/>
      <c r="C187" s="2"/>
      <c r="D187" s="143"/>
      <c r="E187" s="88">
        <f t="shared" si="19"/>
        <v>107</v>
      </c>
      <c r="F187" s="90">
        <f t="shared" si="20"/>
        <v>47939</v>
      </c>
      <c r="G187" s="89">
        <f t="shared" si="21"/>
        <v>182451.94632304608</v>
      </c>
      <c r="H187" s="89">
        <f t="shared" si="26"/>
        <v>15070.890230370371</v>
      </c>
      <c r="I187" s="118"/>
      <c r="J187" s="89">
        <f t="shared" si="23"/>
        <v>15070.890230370371</v>
      </c>
      <c r="K187" s="89">
        <f t="shared" si="24"/>
        <v>3649.0389264609216</v>
      </c>
      <c r="L187" s="89">
        <f t="shared" si="25"/>
        <v>11421.851303909449</v>
      </c>
      <c r="M187" s="118">
        <f t="shared" si="18"/>
        <v>171030.09501913664</v>
      </c>
      <c r="N187" s="110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</row>
    <row r="188" spans="1:34" ht="18" customHeight="1" x14ac:dyDescent="0.25">
      <c r="A188" s="1"/>
      <c r="B188" s="1"/>
      <c r="C188" s="2"/>
      <c r="D188" s="143"/>
      <c r="E188" s="88">
        <f t="shared" si="19"/>
        <v>108</v>
      </c>
      <c r="F188" s="90">
        <f t="shared" si="20"/>
        <v>47969</v>
      </c>
      <c r="G188" s="89">
        <f t="shared" si="21"/>
        <v>171030.09501913664</v>
      </c>
      <c r="H188" s="89">
        <f t="shared" si="26"/>
        <v>15070.890230370371</v>
      </c>
      <c r="I188" s="118"/>
      <c r="J188" s="89">
        <f t="shared" si="23"/>
        <v>15070.890230370371</v>
      </c>
      <c r="K188" s="89">
        <f t="shared" si="24"/>
        <v>3420.6019003827328</v>
      </c>
      <c r="L188" s="89">
        <f t="shared" si="25"/>
        <v>11650.288329987638</v>
      </c>
      <c r="M188" s="118">
        <f t="shared" si="18"/>
        <v>159379.806689149</v>
      </c>
      <c r="N188" s="110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</row>
    <row r="189" spans="1:34" ht="18" customHeight="1" x14ac:dyDescent="0.25">
      <c r="A189" s="1"/>
      <c r="B189" s="1"/>
      <c r="C189" s="2"/>
      <c r="D189" s="143"/>
      <c r="E189" s="88">
        <f t="shared" si="19"/>
        <v>109</v>
      </c>
      <c r="F189" s="90">
        <f t="shared" si="20"/>
        <v>48000</v>
      </c>
      <c r="G189" s="89">
        <f t="shared" si="21"/>
        <v>159379.806689149</v>
      </c>
      <c r="H189" s="89">
        <f t="shared" si="26"/>
        <v>15070.890230370371</v>
      </c>
      <c r="I189" s="118"/>
      <c r="J189" s="89">
        <f t="shared" si="23"/>
        <v>15070.890230370371</v>
      </c>
      <c r="K189" s="89">
        <f t="shared" si="24"/>
        <v>3187.5961337829799</v>
      </c>
      <c r="L189" s="89">
        <f t="shared" si="25"/>
        <v>11883.294096587391</v>
      </c>
      <c r="M189" s="118">
        <f t="shared" si="18"/>
        <v>147496.5125925616</v>
      </c>
      <c r="N189" s="110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</row>
    <row r="190" spans="1:34" ht="18" customHeight="1" x14ac:dyDescent="0.25">
      <c r="A190" s="1"/>
      <c r="B190" s="1"/>
      <c r="C190" s="2"/>
      <c r="D190" s="143"/>
      <c r="E190" s="88">
        <f t="shared" si="19"/>
        <v>110</v>
      </c>
      <c r="F190" s="90">
        <f t="shared" si="20"/>
        <v>48030</v>
      </c>
      <c r="G190" s="89">
        <f t="shared" si="21"/>
        <v>147496.5125925616</v>
      </c>
      <c r="H190" s="89">
        <f t="shared" si="26"/>
        <v>15070.890230370371</v>
      </c>
      <c r="I190" s="118"/>
      <c r="J190" s="89">
        <f t="shared" si="23"/>
        <v>15070.890230370371</v>
      </c>
      <c r="K190" s="89">
        <f t="shared" si="24"/>
        <v>2949.9302518512322</v>
      </c>
      <c r="L190" s="89">
        <f t="shared" si="25"/>
        <v>12120.959978519139</v>
      </c>
      <c r="M190" s="118">
        <f t="shared" si="18"/>
        <v>135375.55261404248</v>
      </c>
      <c r="N190" s="110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</row>
    <row r="191" spans="1:34" ht="18" customHeight="1" x14ac:dyDescent="0.25">
      <c r="A191" s="1"/>
      <c r="B191" s="1"/>
      <c r="C191" s="2"/>
      <c r="D191" s="143"/>
      <c r="E191" s="88">
        <f t="shared" si="19"/>
        <v>111</v>
      </c>
      <c r="F191" s="90">
        <f t="shared" si="20"/>
        <v>48061</v>
      </c>
      <c r="G191" s="89">
        <f t="shared" si="21"/>
        <v>135375.55261404248</v>
      </c>
      <c r="H191" s="89">
        <f t="shared" si="26"/>
        <v>15070.890230370371</v>
      </c>
      <c r="I191" s="118"/>
      <c r="J191" s="89">
        <f t="shared" si="23"/>
        <v>15070.890230370371</v>
      </c>
      <c r="K191" s="89">
        <f t="shared" si="24"/>
        <v>2707.5110522808495</v>
      </c>
      <c r="L191" s="89">
        <f t="shared" si="25"/>
        <v>12363.379178089521</v>
      </c>
      <c r="M191" s="118">
        <f t="shared" si="18"/>
        <v>123012.17343595295</v>
      </c>
      <c r="N191" s="110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</row>
    <row r="192" spans="1:34" ht="18" customHeight="1" x14ac:dyDescent="0.25">
      <c r="A192" s="1"/>
      <c r="B192" s="1"/>
      <c r="C192" s="2"/>
      <c r="D192" s="143"/>
      <c r="E192" s="88">
        <f t="shared" si="19"/>
        <v>112</v>
      </c>
      <c r="F192" s="90">
        <f t="shared" si="20"/>
        <v>48092</v>
      </c>
      <c r="G192" s="89">
        <f t="shared" si="21"/>
        <v>123012.17343595295</v>
      </c>
      <c r="H192" s="89">
        <f t="shared" si="26"/>
        <v>15070.890230370371</v>
      </c>
      <c r="I192" s="118"/>
      <c r="J192" s="89">
        <f t="shared" si="23"/>
        <v>15070.890230370371</v>
      </c>
      <c r="K192" s="89">
        <f t="shared" si="24"/>
        <v>2460.2434687190589</v>
      </c>
      <c r="L192" s="89">
        <f t="shared" si="25"/>
        <v>12610.646761651311</v>
      </c>
      <c r="M192" s="118">
        <f t="shared" si="18"/>
        <v>110401.52667430164</v>
      </c>
      <c r="N192" s="110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</row>
    <row r="193" spans="1:34" ht="18" customHeight="1" x14ac:dyDescent="0.25">
      <c r="A193" s="1"/>
      <c r="B193" s="1"/>
      <c r="C193" s="2"/>
      <c r="D193" s="143"/>
      <c r="E193" s="88">
        <f t="shared" si="19"/>
        <v>113</v>
      </c>
      <c r="F193" s="90">
        <f t="shared" si="20"/>
        <v>48122</v>
      </c>
      <c r="G193" s="89">
        <f t="shared" si="21"/>
        <v>110401.52667430164</v>
      </c>
      <c r="H193" s="89">
        <f t="shared" si="26"/>
        <v>15070.890230370371</v>
      </c>
      <c r="I193" s="118"/>
      <c r="J193" s="89">
        <f t="shared" si="23"/>
        <v>15070.890230370371</v>
      </c>
      <c r="K193" s="89">
        <f t="shared" si="24"/>
        <v>2208.0305334860327</v>
      </c>
      <c r="L193" s="89">
        <f t="shared" si="25"/>
        <v>12862.859696884338</v>
      </c>
      <c r="M193" s="118">
        <f t="shared" si="18"/>
        <v>97538.666977417306</v>
      </c>
      <c r="N193" s="110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</row>
    <row r="194" spans="1:34" ht="18" customHeight="1" x14ac:dyDescent="0.25">
      <c r="A194" s="1"/>
      <c r="B194" s="1"/>
      <c r="C194" s="2"/>
      <c r="D194" s="143"/>
      <c r="E194" s="88">
        <f t="shared" si="19"/>
        <v>114</v>
      </c>
      <c r="F194" s="90">
        <f t="shared" si="20"/>
        <v>48153</v>
      </c>
      <c r="G194" s="89">
        <f t="shared" si="21"/>
        <v>97538.666977417306</v>
      </c>
      <c r="H194" s="89">
        <f t="shared" si="26"/>
        <v>15070.890230370371</v>
      </c>
      <c r="I194" s="118"/>
      <c r="J194" s="89">
        <f t="shared" si="23"/>
        <v>15070.890230370371</v>
      </c>
      <c r="K194" s="89">
        <f t="shared" si="24"/>
        <v>1950.7733395483463</v>
      </c>
      <c r="L194" s="89">
        <f t="shared" si="25"/>
        <v>13120.116890822024</v>
      </c>
      <c r="M194" s="118">
        <f t="shared" si="18"/>
        <v>84418.550086595278</v>
      </c>
      <c r="N194" s="110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</row>
    <row r="195" spans="1:34" ht="18" customHeight="1" x14ac:dyDescent="0.25">
      <c r="A195" s="1"/>
      <c r="B195" s="1"/>
      <c r="C195" s="2"/>
      <c r="D195" s="143"/>
      <c r="E195" s="88">
        <f t="shared" si="19"/>
        <v>115</v>
      </c>
      <c r="F195" s="90">
        <f t="shared" si="20"/>
        <v>48183</v>
      </c>
      <c r="G195" s="89">
        <f t="shared" si="21"/>
        <v>84418.550086595278</v>
      </c>
      <c r="H195" s="89">
        <f t="shared" si="26"/>
        <v>15070.890230370371</v>
      </c>
      <c r="I195" s="118"/>
      <c r="J195" s="89">
        <f t="shared" si="23"/>
        <v>15070.890230370371</v>
      </c>
      <c r="K195" s="89">
        <f t="shared" si="24"/>
        <v>1688.3710017319056</v>
      </c>
      <c r="L195" s="89">
        <f t="shared" si="25"/>
        <v>13382.519228638464</v>
      </c>
      <c r="M195" s="118">
        <f t="shared" si="18"/>
        <v>71036.030857956808</v>
      </c>
      <c r="N195" s="110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</row>
    <row r="196" spans="1:34" ht="18" customHeight="1" x14ac:dyDescent="0.25">
      <c r="A196" s="1"/>
      <c r="B196" s="1"/>
      <c r="C196" s="2"/>
      <c r="D196" s="143"/>
      <c r="E196" s="88">
        <f t="shared" si="19"/>
        <v>116</v>
      </c>
      <c r="F196" s="90">
        <f t="shared" si="20"/>
        <v>48214</v>
      </c>
      <c r="G196" s="89">
        <f t="shared" si="21"/>
        <v>71036.030857956808</v>
      </c>
      <c r="H196" s="89">
        <f t="shared" si="26"/>
        <v>15070.890230370371</v>
      </c>
      <c r="I196" s="118"/>
      <c r="J196" s="89">
        <f t="shared" si="23"/>
        <v>15070.890230370371</v>
      </c>
      <c r="K196" s="89">
        <f t="shared" si="24"/>
        <v>1420.7206171591363</v>
      </c>
      <c r="L196" s="89">
        <f t="shared" si="25"/>
        <v>13650.169613211234</v>
      </c>
      <c r="M196" s="118">
        <f t="shared" si="18"/>
        <v>57385.861244745574</v>
      </c>
      <c r="N196" s="110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</row>
    <row r="197" spans="1:34" ht="18" customHeight="1" x14ac:dyDescent="0.25">
      <c r="A197" s="1"/>
      <c r="B197" s="1"/>
      <c r="C197" s="2"/>
      <c r="D197" s="143"/>
      <c r="E197" s="88">
        <f t="shared" si="19"/>
        <v>117</v>
      </c>
      <c r="F197" s="90">
        <f t="shared" si="20"/>
        <v>48245</v>
      </c>
      <c r="G197" s="89">
        <f t="shared" si="21"/>
        <v>57385.861244745574</v>
      </c>
      <c r="H197" s="89">
        <f t="shared" si="26"/>
        <v>15070.890230370371</v>
      </c>
      <c r="I197" s="118"/>
      <c r="J197" s="89">
        <f t="shared" si="23"/>
        <v>15070.890230370371</v>
      </c>
      <c r="K197" s="89">
        <f t="shared" si="24"/>
        <v>1147.7172248949116</v>
      </c>
      <c r="L197" s="89">
        <f t="shared" si="25"/>
        <v>13923.173005475459</v>
      </c>
      <c r="M197" s="118">
        <f t="shared" si="18"/>
        <v>43462.688239270115</v>
      </c>
      <c r="N197" s="110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</row>
    <row r="198" spans="1:34" ht="18" customHeight="1" x14ac:dyDescent="0.25">
      <c r="A198" s="1"/>
      <c r="B198" s="1"/>
      <c r="C198" s="2"/>
      <c r="D198" s="143"/>
      <c r="E198" s="88">
        <f t="shared" si="19"/>
        <v>118</v>
      </c>
      <c r="F198" s="90">
        <f t="shared" si="20"/>
        <v>48274</v>
      </c>
      <c r="G198" s="89">
        <f t="shared" si="21"/>
        <v>43462.688239270115</v>
      </c>
      <c r="H198" s="89">
        <f t="shared" si="26"/>
        <v>15070.890230370371</v>
      </c>
      <c r="I198" s="118"/>
      <c r="J198" s="89">
        <f t="shared" si="23"/>
        <v>15070.890230370371</v>
      </c>
      <c r="K198" s="89">
        <f t="shared" si="24"/>
        <v>869.25376478540238</v>
      </c>
      <c r="L198" s="89">
        <f t="shared" si="25"/>
        <v>14201.636465584968</v>
      </c>
      <c r="M198" s="118">
        <f t="shared" si="18"/>
        <v>29261.051773685147</v>
      </c>
      <c r="N198" s="110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</row>
    <row r="199" spans="1:34" ht="18" customHeight="1" x14ac:dyDescent="0.25">
      <c r="A199" s="1"/>
      <c r="B199" s="1"/>
      <c r="C199" s="2"/>
      <c r="D199" s="143"/>
      <c r="E199" s="88">
        <f t="shared" si="19"/>
        <v>119</v>
      </c>
      <c r="F199" s="90">
        <f t="shared" si="20"/>
        <v>48305</v>
      </c>
      <c r="G199" s="89">
        <f t="shared" si="21"/>
        <v>29261.051773685147</v>
      </c>
      <c r="H199" s="89">
        <f t="shared" si="26"/>
        <v>15070.890230370371</v>
      </c>
      <c r="I199" s="118"/>
      <c r="J199" s="89">
        <f t="shared" si="23"/>
        <v>15070.890230370371</v>
      </c>
      <c r="K199" s="89">
        <f t="shared" si="24"/>
        <v>585.22103547370295</v>
      </c>
      <c r="L199" s="89">
        <f t="shared" si="25"/>
        <v>14485.669194896667</v>
      </c>
      <c r="M199" s="118">
        <f t="shared" si="18"/>
        <v>14775.38257878848</v>
      </c>
      <c r="N199" s="110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</row>
    <row r="200" spans="1:34" ht="18" customHeight="1" x14ac:dyDescent="0.25">
      <c r="A200" s="1"/>
      <c r="B200" s="1"/>
      <c r="C200" s="2"/>
      <c r="D200" s="143"/>
      <c r="E200" s="88">
        <f t="shared" si="19"/>
        <v>120</v>
      </c>
      <c r="F200" s="90">
        <f t="shared" si="20"/>
        <v>48335</v>
      </c>
      <c r="G200" s="89">
        <f t="shared" si="21"/>
        <v>14775.38257878848</v>
      </c>
      <c r="H200" s="89">
        <f t="shared" si="26"/>
        <v>15070.890230370371</v>
      </c>
      <c r="I200" s="118"/>
      <c r="J200" s="89">
        <f t="shared" si="23"/>
        <v>15070.890230370371</v>
      </c>
      <c r="K200" s="89">
        <f t="shared" si="24"/>
        <v>295.50765157576961</v>
      </c>
      <c r="L200" s="89">
        <f t="shared" si="25"/>
        <v>14775.382578794601</v>
      </c>
      <c r="M200" s="118">
        <f t="shared" si="18"/>
        <v>-6.120899342931807E-9</v>
      </c>
      <c r="N200" s="110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</row>
    <row r="201" spans="1:34" ht="18" customHeight="1" x14ac:dyDescent="0.25">
      <c r="A201" s="1"/>
      <c r="B201" s="1"/>
      <c r="C201" s="2"/>
      <c r="D201" s="143"/>
      <c r="E201" s="91">
        <f>SUBTOTAL(102,SIMULADOR!$E$116:$E$200)+SIMULADOR!$E$102</f>
        <v>120</v>
      </c>
      <c r="F201" s="120"/>
      <c r="G201" s="121"/>
      <c r="H201" s="121">
        <f>SUBTOTAL(109,SIMULADOR!$H$116:$H$200)</f>
        <v>1265954.7793511115</v>
      </c>
      <c r="I201" s="94">
        <f>SUBTOTAL(109,SIMULADOR!$I$116:$I$200)</f>
        <v>0</v>
      </c>
      <c r="J201" s="94">
        <f>SUBTOTAL(109,SIMULADOR!$J$116:$J$200)</f>
        <v>1265954.7793511115</v>
      </c>
      <c r="K201" s="94">
        <f>SUBTOTAL(109,SIMULADOR!$K$116:$K$200)</f>
        <v>655199.17935110617</v>
      </c>
      <c r="L201" s="94">
        <f>SUBTOTAL(109,SIMULADOR!$L$116:$L$200)</f>
        <v>610755.60000000498</v>
      </c>
      <c r="M201" s="95">
        <f>VLOOKUP(E201,SIMULADOR!$E$115:$M$200,9,0)</f>
        <v>-6.120899342931807E-9</v>
      </c>
      <c r="N201" s="110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</row>
    <row r="202" spans="1:34" ht="18" customHeight="1" x14ac:dyDescent="0.25">
      <c r="A202" s="1"/>
      <c r="B202" s="1"/>
      <c r="C202" s="2"/>
      <c r="D202" s="143"/>
      <c r="E202" s="2"/>
      <c r="F202" s="2"/>
      <c r="G202" s="2"/>
      <c r="H202" s="2"/>
      <c r="I202" s="2"/>
      <c r="J202" s="2"/>
      <c r="K202" s="2"/>
      <c r="L202" s="2"/>
      <c r="M202" s="2"/>
      <c r="N202" s="110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</row>
    <row r="203" spans="1:34" ht="18" customHeight="1" x14ac:dyDescent="0.25">
      <c r="A203" s="1"/>
      <c r="B203" s="1"/>
      <c r="C203" s="2"/>
      <c r="D203" s="143"/>
      <c r="E203" s="2"/>
      <c r="F203" s="2"/>
      <c r="G203" s="2"/>
      <c r="H203" s="2"/>
      <c r="I203" s="2"/>
      <c r="J203" s="2"/>
      <c r="K203" s="2"/>
      <c r="L203" s="2"/>
      <c r="M203" s="2"/>
      <c r="N203" s="110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</row>
    <row r="204" spans="1:34" ht="18" customHeight="1" x14ac:dyDescent="0.25">
      <c r="A204" s="1"/>
      <c r="B204" s="1"/>
      <c r="C204" s="2"/>
      <c r="D204" s="143"/>
      <c r="E204" s="2"/>
      <c r="F204" s="2"/>
      <c r="G204" s="2"/>
      <c r="H204" s="2"/>
      <c r="I204" s="2"/>
      <c r="J204" s="2"/>
      <c r="K204" s="2"/>
      <c r="L204" s="2"/>
      <c r="M204" s="2"/>
      <c r="N204" s="110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</row>
    <row r="205" spans="1:34" ht="18" customHeight="1" x14ac:dyDescent="0.25">
      <c r="A205" s="1"/>
      <c r="B205" s="1"/>
      <c r="C205" s="2"/>
      <c r="D205" s="143"/>
      <c r="E205" s="2"/>
      <c r="F205" s="2"/>
      <c r="G205" s="2"/>
      <c r="H205" s="2"/>
      <c r="I205" s="2"/>
      <c r="J205" s="2"/>
      <c r="K205" s="2"/>
      <c r="L205" s="2"/>
      <c r="M205" s="2"/>
      <c r="N205" s="110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</row>
    <row r="206" spans="1:34" ht="18" customHeight="1" x14ac:dyDescent="0.25">
      <c r="A206" s="1"/>
      <c r="B206" s="1"/>
      <c r="C206" s="2"/>
      <c r="D206" s="143"/>
      <c r="E206" s="2"/>
      <c r="F206" s="2"/>
      <c r="G206" s="2"/>
      <c r="H206" s="2"/>
      <c r="I206" s="2"/>
      <c r="J206" s="2"/>
      <c r="K206" s="2"/>
      <c r="L206" s="2"/>
      <c r="M206" s="2"/>
      <c r="N206" s="110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</row>
    <row r="207" spans="1:34" ht="18" customHeight="1" x14ac:dyDescent="0.25">
      <c r="A207" s="1"/>
      <c r="B207" s="1"/>
      <c r="C207" s="2"/>
      <c r="D207" s="143"/>
      <c r="E207" s="2"/>
      <c r="F207" s="2"/>
      <c r="G207" s="2"/>
      <c r="H207" s="2"/>
      <c r="I207" s="2"/>
      <c r="J207" s="2"/>
      <c r="K207" s="2"/>
      <c r="L207" s="2"/>
      <c r="M207" s="2"/>
      <c r="N207" s="110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</row>
    <row r="208" spans="1:34" ht="18" customHeight="1" x14ac:dyDescent="0.25">
      <c r="A208" s="1"/>
      <c r="B208" s="1"/>
      <c r="C208" s="2"/>
      <c r="D208" s="143"/>
      <c r="E208" s="2"/>
      <c r="F208" s="2"/>
      <c r="G208" s="2"/>
      <c r="H208" s="2"/>
      <c r="I208" s="2"/>
      <c r="J208" s="2"/>
      <c r="K208" s="2"/>
      <c r="L208" s="2"/>
      <c r="M208" s="2"/>
      <c r="N208" s="110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</row>
    <row r="209" spans="1:34" ht="18" customHeight="1" x14ac:dyDescent="0.25">
      <c r="A209" s="1"/>
      <c r="B209" s="1"/>
      <c r="C209" s="2"/>
      <c r="D209" s="143"/>
      <c r="E209" s="2"/>
      <c r="F209" s="2"/>
      <c r="G209" s="2"/>
      <c r="H209" s="2"/>
      <c r="I209" s="2"/>
      <c r="J209" s="2"/>
      <c r="K209" s="2"/>
      <c r="L209" s="2"/>
      <c r="M209" s="2"/>
      <c r="N209" s="110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</row>
    <row r="210" spans="1:34" ht="18" customHeight="1" x14ac:dyDescent="0.25">
      <c r="A210" s="1"/>
      <c r="B210" s="1"/>
      <c r="C210" s="2"/>
      <c r="D210" s="143"/>
      <c r="E210" s="2"/>
      <c r="F210" s="2"/>
      <c r="G210" s="2"/>
      <c r="H210" s="2"/>
      <c r="I210" s="2"/>
      <c r="J210" s="2"/>
      <c r="K210" s="2"/>
      <c r="L210" s="2"/>
      <c r="M210" s="2"/>
      <c r="N210" s="110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</row>
    <row r="211" spans="1:34" ht="18" customHeight="1" x14ac:dyDescent="0.25">
      <c r="A211" s="1"/>
      <c r="B211" s="1"/>
      <c r="C211" s="2"/>
      <c r="D211" s="143"/>
      <c r="E211" s="2"/>
      <c r="F211" s="2"/>
      <c r="G211" s="2"/>
      <c r="H211" s="2"/>
      <c r="I211" s="2"/>
      <c r="J211" s="2"/>
      <c r="K211" s="2"/>
      <c r="L211" s="2"/>
      <c r="M211" s="2"/>
      <c r="N211" s="110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</row>
    <row r="212" spans="1:34" ht="18" customHeight="1" x14ac:dyDescent="0.25">
      <c r="A212" s="1"/>
      <c r="B212" s="1"/>
      <c r="C212" s="2"/>
      <c r="D212" s="143"/>
      <c r="E212" s="2"/>
      <c r="F212" s="2"/>
      <c r="G212" s="2"/>
      <c r="H212" s="2"/>
      <c r="I212" s="2"/>
      <c r="J212" s="2"/>
      <c r="K212" s="2"/>
      <c r="L212" s="2"/>
      <c r="M212" s="2"/>
      <c r="N212" s="110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</row>
    <row r="213" spans="1:34" ht="18" customHeight="1" x14ac:dyDescent="0.25">
      <c r="A213" s="1"/>
      <c r="B213" s="1"/>
      <c r="C213" s="2"/>
      <c r="D213" s="143"/>
      <c r="E213" s="2"/>
      <c r="F213" s="2"/>
      <c r="G213" s="2"/>
      <c r="H213" s="2"/>
      <c r="I213" s="2"/>
      <c r="J213" s="2"/>
      <c r="K213" s="2"/>
      <c r="L213" s="2"/>
      <c r="M213" s="2"/>
      <c r="N213" s="3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</row>
    <row r="214" spans="1:34" ht="18" customHeight="1" x14ac:dyDescent="0.25">
      <c r="A214" s="1"/>
      <c r="B214" s="1"/>
      <c r="C214" s="2"/>
      <c r="D214" s="143"/>
      <c r="E214" s="2"/>
      <c r="F214" s="2"/>
      <c r="G214" s="2"/>
      <c r="H214" s="2"/>
      <c r="I214" s="2"/>
      <c r="J214" s="2"/>
      <c r="K214" s="2"/>
      <c r="L214" s="2"/>
      <c r="M214" s="2"/>
      <c r="N214" s="3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</row>
    <row r="215" spans="1:34" ht="18" customHeight="1" x14ac:dyDescent="0.25">
      <c r="A215" s="1"/>
      <c r="B215" s="1"/>
      <c r="C215" s="2"/>
      <c r="D215" s="143"/>
      <c r="E215" s="2"/>
      <c r="F215" s="2"/>
      <c r="G215" s="2"/>
      <c r="H215" s="2"/>
      <c r="I215" s="2"/>
      <c r="J215" s="2"/>
      <c r="K215" s="2"/>
      <c r="L215" s="2"/>
      <c r="M215" s="2"/>
      <c r="N215" s="3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</row>
    <row r="216" spans="1:34" ht="18" customHeight="1" x14ac:dyDescent="0.25">
      <c r="A216" s="1"/>
      <c r="B216" s="1"/>
      <c r="C216" s="2"/>
      <c r="D216" s="143"/>
      <c r="E216" s="2"/>
      <c r="F216" s="2"/>
      <c r="G216" s="2"/>
      <c r="H216" s="2"/>
      <c r="I216" s="2"/>
      <c r="J216" s="2"/>
      <c r="K216" s="2"/>
      <c r="L216" s="2"/>
      <c r="M216" s="2"/>
      <c r="N216" s="3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</row>
    <row r="217" spans="1:34" ht="18" customHeight="1" x14ac:dyDescent="0.25">
      <c r="A217" s="1"/>
      <c r="B217" s="1"/>
      <c r="C217" s="2"/>
      <c r="D217" s="143"/>
      <c r="E217" s="2"/>
      <c r="F217" s="2"/>
      <c r="G217" s="2"/>
      <c r="H217" s="2"/>
      <c r="I217" s="2"/>
      <c r="J217" s="2"/>
      <c r="K217" s="2"/>
      <c r="L217" s="2"/>
      <c r="M217" s="2"/>
      <c r="N217" s="3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</row>
    <row r="218" spans="1:34" ht="18" customHeight="1" x14ac:dyDescent="0.25">
      <c r="A218" s="1"/>
      <c r="B218" s="1"/>
      <c r="C218" s="2"/>
      <c r="D218" s="143"/>
      <c r="E218" s="2"/>
      <c r="F218" s="2"/>
      <c r="G218" s="2"/>
      <c r="H218" s="2"/>
      <c r="I218" s="2"/>
      <c r="J218" s="2"/>
      <c r="K218" s="2"/>
      <c r="L218" s="2"/>
      <c r="M218" s="2"/>
      <c r="N218" s="3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</row>
    <row r="219" spans="1:34" ht="18" customHeight="1" x14ac:dyDescent="0.25">
      <c r="A219" s="1"/>
      <c r="B219" s="1"/>
      <c r="C219" s="2"/>
      <c r="D219" s="143"/>
      <c r="E219" s="2"/>
      <c r="F219" s="2"/>
      <c r="G219" s="2"/>
      <c r="H219" s="2"/>
      <c r="I219" s="2"/>
      <c r="J219" s="2"/>
      <c r="K219" s="2"/>
      <c r="L219" s="2"/>
      <c r="M219" s="2"/>
      <c r="N219" s="3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</row>
    <row r="220" spans="1:34" ht="18" customHeight="1" x14ac:dyDescent="0.25">
      <c r="A220" s="1"/>
      <c r="B220" s="1"/>
      <c r="C220" s="2"/>
      <c r="D220" s="143"/>
      <c r="E220" s="2"/>
      <c r="F220" s="2"/>
      <c r="G220" s="2"/>
      <c r="H220" s="2"/>
      <c r="I220" s="2"/>
      <c r="J220" s="2"/>
      <c r="K220" s="2"/>
      <c r="L220" s="2"/>
      <c r="M220" s="2"/>
      <c r="N220" s="3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</row>
    <row r="221" spans="1:34" ht="18" customHeight="1" x14ac:dyDescent="0.25">
      <c r="A221" s="1"/>
      <c r="B221" s="1"/>
      <c r="C221" s="2"/>
      <c r="D221" s="143"/>
      <c r="E221" s="2"/>
      <c r="F221" s="2"/>
      <c r="G221" s="2"/>
      <c r="H221" s="2"/>
      <c r="I221" s="2"/>
      <c r="J221" s="2"/>
      <c r="K221" s="2"/>
      <c r="L221" s="2"/>
      <c r="M221" s="2"/>
      <c r="N221" s="3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</row>
    <row r="222" spans="1:34" ht="18" customHeight="1" x14ac:dyDescent="0.25">
      <c r="A222" s="1"/>
      <c r="B222" s="1"/>
      <c r="C222" s="2"/>
      <c r="D222" s="143"/>
      <c r="E222" s="2"/>
      <c r="F222" s="2"/>
      <c r="G222" s="2"/>
      <c r="H222" s="2"/>
      <c r="I222" s="2"/>
      <c r="J222" s="2"/>
      <c r="K222" s="2"/>
      <c r="L222" s="2"/>
      <c r="M222" s="2"/>
      <c r="N222" s="3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</row>
    <row r="223" spans="1:34" ht="18" customHeight="1" x14ac:dyDescent="0.25">
      <c r="A223" s="1"/>
      <c r="B223" s="1"/>
      <c r="C223" s="2"/>
      <c r="D223" s="143"/>
      <c r="E223" s="2"/>
      <c r="F223" s="2"/>
      <c r="G223" s="2"/>
      <c r="H223" s="2"/>
      <c r="I223" s="2"/>
      <c r="J223" s="2"/>
      <c r="K223" s="2"/>
      <c r="L223" s="2"/>
      <c r="M223" s="2"/>
      <c r="N223" s="3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</row>
    <row r="224" spans="1:34" ht="18" customHeight="1" x14ac:dyDescent="0.25">
      <c r="A224" s="1"/>
      <c r="B224" s="1"/>
      <c r="C224" s="2"/>
      <c r="D224" s="143"/>
      <c r="E224" s="2"/>
      <c r="F224" s="2"/>
      <c r="G224" s="2"/>
      <c r="H224" s="2"/>
      <c r="I224" s="2"/>
      <c r="J224" s="2"/>
      <c r="K224" s="2"/>
      <c r="L224" s="2"/>
      <c r="M224" s="2"/>
      <c r="N224" s="3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</row>
    <row r="225" spans="1:34" ht="18" customHeight="1" x14ac:dyDescent="0.25">
      <c r="A225" s="1"/>
      <c r="B225" s="1"/>
      <c r="C225" s="2"/>
      <c r="D225" s="143"/>
      <c r="E225" s="2"/>
      <c r="F225" s="2"/>
      <c r="G225" s="2"/>
      <c r="H225" s="2"/>
      <c r="I225" s="2"/>
      <c r="J225" s="2"/>
      <c r="K225" s="2"/>
      <c r="L225" s="2"/>
      <c r="M225" s="2"/>
      <c r="N225" s="3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</row>
    <row r="226" spans="1:34" ht="18" customHeight="1" x14ac:dyDescent="0.25">
      <c r="A226" s="1"/>
      <c r="B226" s="1"/>
      <c r="C226" s="2"/>
      <c r="D226" s="143"/>
      <c r="E226" s="2"/>
      <c r="F226" s="2"/>
      <c r="G226" s="2"/>
      <c r="H226" s="2"/>
      <c r="I226" s="2"/>
      <c r="J226" s="2"/>
      <c r="K226" s="2"/>
      <c r="L226" s="2"/>
      <c r="M226" s="2"/>
      <c r="N226" s="3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</row>
    <row r="227" spans="1:34" ht="18" customHeight="1" x14ac:dyDescent="0.25">
      <c r="A227" s="1"/>
      <c r="B227" s="1"/>
      <c r="C227" s="2"/>
      <c r="D227" s="143"/>
      <c r="E227" s="2"/>
      <c r="F227" s="2"/>
      <c r="G227" s="2"/>
      <c r="H227" s="2"/>
      <c r="I227" s="2"/>
      <c r="J227" s="2"/>
      <c r="K227" s="2"/>
      <c r="L227" s="2"/>
      <c r="M227" s="2"/>
      <c r="N227" s="3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</row>
    <row r="228" spans="1:34" ht="18" customHeight="1" x14ac:dyDescent="0.25">
      <c r="A228" s="1"/>
      <c r="B228" s="1"/>
      <c r="C228" s="2"/>
      <c r="D228" s="143"/>
      <c r="E228" s="2"/>
      <c r="F228" s="2"/>
      <c r="G228" s="2"/>
      <c r="H228" s="2"/>
      <c r="I228" s="2"/>
      <c r="J228" s="2"/>
      <c r="K228" s="2"/>
      <c r="L228" s="2"/>
      <c r="M228" s="2"/>
      <c r="N228" s="3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</row>
    <row r="229" spans="1:34" ht="18" customHeight="1" x14ac:dyDescent="0.25">
      <c r="A229" s="1"/>
      <c r="B229" s="1"/>
      <c r="C229" s="2"/>
      <c r="D229" s="143"/>
      <c r="E229" s="2"/>
      <c r="F229" s="2"/>
      <c r="G229" s="2"/>
      <c r="H229" s="2"/>
      <c r="I229" s="2"/>
      <c r="J229" s="2"/>
      <c r="K229" s="2"/>
      <c r="L229" s="2"/>
      <c r="M229" s="2"/>
      <c r="N229" s="3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</row>
    <row r="230" spans="1:34" ht="18" customHeight="1" x14ac:dyDescent="0.25">
      <c r="A230" s="1"/>
      <c r="B230" s="1"/>
      <c r="C230" s="2"/>
      <c r="D230" s="143"/>
      <c r="E230" s="2"/>
      <c r="F230" s="2"/>
      <c r="G230" s="2"/>
      <c r="H230" s="2"/>
      <c r="I230" s="2"/>
      <c r="J230" s="2"/>
      <c r="K230" s="2"/>
      <c r="L230" s="2"/>
      <c r="M230" s="2"/>
      <c r="N230" s="3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</row>
    <row r="231" spans="1:34" ht="18" customHeight="1" x14ac:dyDescent="0.25">
      <c r="A231" s="1"/>
      <c r="B231" s="1"/>
      <c r="C231" s="2"/>
      <c r="D231" s="143"/>
      <c r="E231" s="2"/>
      <c r="F231" s="2"/>
      <c r="G231" s="2"/>
      <c r="H231" s="2"/>
      <c r="I231" s="2"/>
      <c r="J231" s="2"/>
      <c r="K231" s="2"/>
      <c r="L231" s="2"/>
      <c r="M231" s="2"/>
      <c r="N231" s="3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</row>
    <row r="232" spans="1:34" ht="18" customHeight="1" x14ac:dyDescent="0.25">
      <c r="A232" s="1"/>
      <c r="B232" s="1"/>
      <c r="C232" s="2"/>
      <c r="D232" s="143"/>
      <c r="E232" s="2"/>
      <c r="F232" s="2"/>
      <c r="G232" s="2"/>
      <c r="H232" s="2"/>
      <c r="I232" s="2"/>
      <c r="J232" s="2"/>
      <c r="K232" s="2"/>
      <c r="L232" s="2"/>
      <c r="M232" s="2"/>
      <c r="N232" s="3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</row>
    <row r="233" spans="1:34" ht="18" customHeight="1" x14ac:dyDescent="0.25">
      <c r="A233" s="1"/>
      <c r="B233" s="1"/>
      <c r="C233" s="2"/>
      <c r="D233" s="143"/>
      <c r="E233" s="2"/>
      <c r="F233" s="2"/>
      <c r="G233" s="2"/>
      <c r="H233" s="2"/>
      <c r="I233" s="2"/>
      <c r="J233" s="2"/>
      <c r="K233" s="2"/>
      <c r="L233" s="2"/>
      <c r="M233" s="2"/>
      <c r="N233" s="3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</row>
    <row r="234" spans="1:34" ht="18" customHeight="1" x14ac:dyDescent="0.25">
      <c r="A234" s="1"/>
      <c r="B234" s="1"/>
      <c r="C234" s="2"/>
      <c r="D234" s="143"/>
      <c r="E234" s="2"/>
      <c r="F234" s="2"/>
      <c r="G234" s="2"/>
      <c r="H234" s="2"/>
      <c r="I234" s="2"/>
      <c r="J234" s="2"/>
      <c r="K234" s="2"/>
      <c r="L234" s="2"/>
      <c r="M234" s="2"/>
      <c r="N234" s="3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</row>
    <row r="235" spans="1:34" ht="18" customHeight="1" x14ac:dyDescent="0.25">
      <c r="A235" s="1"/>
      <c r="B235" s="1"/>
      <c r="C235" s="2"/>
      <c r="D235" s="143"/>
      <c r="E235" s="2"/>
      <c r="F235" s="2"/>
      <c r="G235" s="2"/>
      <c r="H235" s="2"/>
      <c r="I235" s="2"/>
      <c r="J235" s="2"/>
      <c r="K235" s="2"/>
      <c r="L235" s="2"/>
      <c r="M235" s="2"/>
      <c r="N235" s="3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</row>
    <row r="236" spans="1:34" ht="18" customHeight="1" x14ac:dyDescent="0.25">
      <c r="A236" s="1"/>
      <c r="B236" s="1"/>
      <c r="C236" s="2"/>
      <c r="D236" s="143"/>
      <c r="E236" s="2"/>
      <c r="F236" s="2"/>
      <c r="G236" s="2"/>
      <c r="H236" s="2"/>
      <c r="I236" s="2"/>
      <c r="J236" s="2"/>
      <c r="K236" s="2"/>
      <c r="L236" s="2"/>
      <c r="M236" s="2"/>
      <c r="N236" s="3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</row>
    <row r="237" spans="1:34" ht="18" customHeight="1" x14ac:dyDescent="0.25">
      <c r="A237" s="1"/>
      <c r="B237" s="1"/>
      <c r="C237" s="2"/>
      <c r="D237" s="143"/>
      <c r="E237" s="2"/>
      <c r="F237" s="2"/>
      <c r="G237" s="2"/>
      <c r="H237" s="2"/>
      <c r="I237" s="2"/>
      <c r="J237" s="2"/>
      <c r="K237" s="2"/>
      <c r="L237" s="2"/>
      <c r="M237" s="2"/>
      <c r="N237" s="3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</row>
    <row r="238" spans="1:34" ht="18" customHeight="1" x14ac:dyDescent="0.25">
      <c r="A238" s="3"/>
      <c r="B238" s="3"/>
      <c r="C238" s="2"/>
      <c r="D238" s="143"/>
      <c r="E238" s="2"/>
      <c r="F238" s="2"/>
      <c r="G238" s="2"/>
      <c r="H238" s="2"/>
      <c r="I238" s="2"/>
      <c r="J238" s="2"/>
      <c r="K238" s="2"/>
      <c r="L238" s="2"/>
      <c r="M238" s="2"/>
      <c r="N238" s="3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4"/>
      <c r="AE238" s="4"/>
      <c r="AF238" s="4"/>
      <c r="AG238" s="4"/>
      <c r="AH238" s="4"/>
    </row>
    <row r="239" spans="1:34" ht="18" customHeight="1" x14ac:dyDescent="0.25">
      <c r="A239" s="3"/>
      <c r="B239" s="3"/>
      <c r="C239" s="2"/>
      <c r="D239" s="143"/>
      <c r="E239" s="2"/>
      <c r="F239" s="2"/>
      <c r="G239" s="2"/>
      <c r="H239" s="2"/>
      <c r="I239" s="2"/>
      <c r="J239" s="2"/>
      <c r="K239" s="2"/>
      <c r="L239" s="2"/>
      <c r="M239" s="2"/>
      <c r="N239" s="3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4"/>
      <c r="AE239" s="4"/>
      <c r="AF239" s="4"/>
      <c r="AG239" s="4"/>
      <c r="AH239" s="4"/>
    </row>
    <row r="240" spans="1:34" ht="18" customHeight="1" x14ac:dyDescent="0.25">
      <c r="A240" s="3"/>
      <c r="B240" s="3"/>
      <c r="C240" s="2"/>
      <c r="D240" s="143"/>
      <c r="E240" s="2"/>
      <c r="F240" s="2"/>
      <c r="G240" s="2"/>
      <c r="H240" s="2"/>
      <c r="I240" s="2"/>
      <c r="J240" s="2"/>
      <c r="K240" s="2"/>
      <c r="L240" s="2"/>
      <c r="M240" s="2"/>
      <c r="N240" s="3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4"/>
      <c r="AE240" s="4"/>
      <c r="AF240" s="4"/>
      <c r="AG240" s="4"/>
      <c r="AH240" s="4"/>
    </row>
    <row r="241" spans="1:34" ht="18" customHeight="1" x14ac:dyDescent="0.25">
      <c r="A241" s="3"/>
      <c r="B241" s="3"/>
      <c r="C241" s="2"/>
      <c r="D241" s="143"/>
      <c r="E241" s="2"/>
      <c r="F241" s="2"/>
      <c r="G241" s="2"/>
      <c r="H241" s="2"/>
      <c r="I241" s="2"/>
      <c r="J241" s="2"/>
      <c r="K241" s="2"/>
      <c r="L241" s="2"/>
      <c r="M241" s="2"/>
      <c r="N241" s="3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4"/>
      <c r="AE241" s="4"/>
      <c r="AF241" s="4"/>
      <c r="AG241" s="4"/>
      <c r="AH241" s="4"/>
    </row>
    <row r="242" spans="1:34" ht="18" customHeight="1" x14ac:dyDescent="0.25">
      <c r="A242" s="3"/>
      <c r="B242" s="3"/>
      <c r="C242" s="2"/>
      <c r="D242" s="143"/>
      <c r="E242" s="2"/>
      <c r="F242" s="2"/>
      <c r="G242" s="2"/>
      <c r="H242" s="2"/>
      <c r="I242" s="2"/>
      <c r="J242" s="2"/>
      <c r="K242" s="2"/>
      <c r="L242" s="2"/>
      <c r="M242" s="2"/>
      <c r="N242" s="3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4"/>
      <c r="AE242" s="4"/>
      <c r="AF242" s="4"/>
      <c r="AG242" s="4"/>
      <c r="AH242" s="4"/>
    </row>
    <row r="243" spans="1:34" ht="18" customHeight="1" x14ac:dyDescent="0.25">
      <c r="A243" s="3"/>
      <c r="B243" s="3"/>
      <c r="C243" s="2"/>
      <c r="D243" s="143"/>
      <c r="E243" s="2"/>
      <c r="F243" s="2"/>
      <c r="G243" s="2"/>
      <c r="H243" s="2"/>
      <c r="I243" s="2"/>
      <c r="J243" s="2"/>
      <c r="K243" s="2"/>
      <c r="L243" s="2"/>
      <c r="M243" s="2"/>
      <c r="N243" s="3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4"/>
      <c r="AE243" s="4"/>
      <c r="AF243" s="4"/>
      <c r="AG243" s="4"/>
      <c r="AH243" s="4"/>
    </row>
    <row r="244" spans="1:34" ht="18" customHeight="1" x14ac:dyDescent="0.25">
      <c r="A244" s="3"/>
      <c r="B244" s="3"/>
      <c r="C244" s="2"/>
      <c r="D244" s="143"/>
      <c r="E244" s="2"/>
      <c r="F244" s="2"/>
      <c r="G244" s="2"/>
      <c r="H244" s="2"/>
      <c r="I244" s="2"/>
      <c r="J244" s="2"/>
      <c r="K244" s="2"/>
      <c r="L244" s="2"/>
      <c r="M244" s="2"/>
      <c r="N244" s="3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4"/>
      <c r="AE244" s="4"/>
      <c r="AF244" s="4"/>
      <c r="AG244" s="4"/>
      <c r="AH244" s="4"/>
    </row>
    <row r="245" spans="1:34" ht="18" customHeight="1" x14ac:dyDescent="0.25">
      <c r="A245" s="3"/>
      <c r="B245" s="3"/>
      <c r="C245" s="2"/>
      <c r="D245" s="143"/>
      <c r="E245" s="2"/>
      <c r="F245" s="2"/>
      <c r="G245" s="2"/>
      <c r="H245" s="2"/>
      <c r="I245" s="2"/>
      <c r="J245" s="2"/>
      <c r="K245" s="2"/>
      <c r="L245" s="2"/>
      <c r="M245" s="2"/>
      <c r="N245" s="3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4"/>
      <c r="AE245" s="4"/>
      <c r="AF245" s="4"/>
      <c r="AG245" s="4"/>
      <c r="AH245" s="4"/>
    </row>
    <row r="246" spans="1:34" ht="18" customHeight="1" x14ac:dyDescent="0.25">
      <c r="A246" s="3"/>
      <c r="B246" s="3"/>
      <c r="C246" s="2"/>
      <c r="D246" s="143"/>
      <c r="E246" s="2"/>
      <c r="F246" s="2"/>
      <c r="G246" s="2"/>
      <c r="H246" s="2"/>
      <c r="I246" s="2"/>
      <c r="J246" s="2"/>
      <c r="K246" s="2"/>
      <c r="L246" s="2"/>
      <c r="M246" s="2"/>
      <c r="N246" s="3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4"/>
      <c r="AE246" s="4"/>
      <c r="AF246" s="4"/>
      <c r="AG246" s="4"/>
      <c r="AH246" s="4"/>
    </row>
    <row r="247" spans="1:34" ht="18" customHeight="1" x14ac:dyDescent="0.25">
      <c r="A247" s="3"/>
      <c r="B247" s="3"/>
      <c r="C247" s="2"/>
      <c r="D247" s="143"/>
      <c r="E247" s="2"/>
      <c r="F247" s="2"/>
      <c r="G247" s="2"/>
      <c r="H247" s="2"/>
      <c r="I247" s="2"/>
      <c r="J247" s="2"/>
      <c r="K247" s="2"/>
      <c r="L247" s="2"/>
      <c r="M247" s="2"/>
      <c r="N247" s="3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4"/>
      <c r="AE247" s="4"/>
      <c r="AF247" s="4"/>
      <c r="AG247" s="4"/>
      <c r="AH247" s="4"/>
    </row>
    <row r="248" spans="1:34" ht="18" customHeight="1" x14ac:dyDescent="0.25">
      <c r="A248" s="3"/>
      <c r="B248" s="3"/>
      <c r="C248" s="2"/>
      <c r="D248" s="143"/>
      <c r="E248" s="2"/>
      <c r="F248" s="2"/>
      <c r="G248" s="2"/>
      <c r="H248" s="2"/>
      <c r="I248" s="2"/>
      <c r="J248" s="2"/>
      <c r="K248" s="2"/>
      <c r="L248" s="2"/>
      <c r="M248" s="2"/>
      <c r="N248" s="3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4"/>
      <c r="AE248" s="4"/>
      <c r="AF248" s="4"/>
      <c r="AG248" s="4"/>
      <c r="AH248" s="4"/>
    </row>
    <row r="249" spans="1:34" ht="18" customHeight="1" x14ac:dyDescent="0.25">
      <c r="A249" s="3"/>
      <c r="B249" s="3"/>
      <c r="C249" s="2"/>
      <c r="D249" s="143"/>
      <c r="E249" s="2"/>
      <c r="F249" s="2"/>
      <c r="G249" s="2"/>
      <c r="H249" s="2"/>
      <c r="I249" s="2"/>
      <c r="J249" s="2"/>
      <c r="K249" s="2"/>
      <c r="L249" s="2"/>
      <c r="M249" s="2"/>
      <c r="N249" s="3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4"/>
      <c r="AE249" s="4"/>
      <c r="AF249" s="4"/>
      <c r="AG249" s="4"/>
      <c r="AH249" s="4"/>
    </row>
    <row r="250" spans="1:34" ht="18" customHeight="1" x14ac:dyDescent="0.25">
      <c r="A250" s="3"/>
      <c r="B250" s="3"/>
      <c r="C250" s="2"/>
      <c r="D250" s="143"/>
      <c r="E250" s="2"/>
      <c r="F250" s="2"/>
      <c r="G250" s="2"/>
      <c r="H250" s="2"/>
      <c r="I250" s="2"/>
      <c r="J250" s="2"/>
      <c r="K250" s="2"/>
      <c r="L250" s="2"/>
      <c r="M250" s="2"/>
      <c r="N250" s="3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4"/>
      <c r="AE250" s="4"/>
      <c r="AF250" s="4"/>
      <c r="AG250" s="4"/>
      <c r="AH250" s="4"/>
    </row>
    <row r="251" spans="1:34" ht="18" customHeight="1" x14ac:dyDescent="0.25">
      <c r="A251" s="3"/>
      <c r="B251" s="3"/>
      <c r="C251" s="2"/>
      <c r="D251" s="143"/>
      <c r="E251" s="2"/>
      <c r="F251" s="2"/>
      <c r="G251" s="2"/>
      <c r="H251" s="2"/>
      <c r="I251" s="2"/>
      <c r="J251" s="2"/>
      <c r="K251" s="2"/>
      <c r="L251" s="2"/>
      <c r="M251" s="2"/>
      <c r="N251" s="3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4"/>
      <c r="AE251" s="4"/>
      <c r="AF251" s="4"/>
      <c r="AG251" s="4"/>
      <c r="AH251" s="4"/>
    </row>
    <row r="252" spans="1:34" ht="18" customHeight="1" x14ac:dyDescent="0.25">
      <c r="A252" s="3"/>
      <c r="B252" s="3"/>
      <c r="C252" s="2"/>
      <c r="D252" s="143"/>
      <c r="E252" s="2"/>
      <c r="F252" s="2"/>
      <c r="G252" s="2"/>
      <c r="H252" s="2"/>
      <c r="I252" s="2"/>
      <c r="J252" s="2"/>
      <c r="K252" s="2"/>
      <c r="L252" s="2"/>
      <c r="M252" s="2"/>
      <c r="N252" s="3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4"/>
      <c r="AE252" s="4"/>
      <c r="AF252" s="4"/>
      <c r="AG252" s="4"/>
      <c r="AH252" s="4"/>
    </row>
    <row r="253" spans="1:34" ht="18" customHeight="1" x14ac:dyDescent="0.25">
      <c r="A253" s="1"/>
      <c r="B253" s="1"/>
      <c r="C253" s="2"/>
      <c r="D253" s="143"/>
      <c r="E253" s="2"/>
      <c r="F253" s="2"/>
      <c r="G253" s="2"/>
      <c r="H253" s="2"/>
      <c r="I253" s="2"/>
      <c r="J253" s="2"/>
      <c r="K253" s="2"/>
      <c r="L253" s="2"/>
      <c r="M253" s="2"/>
      <c r="N253" s="3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</row>
    <row r="254" spans="1:34" ht="18" customHeight="1" x14ac:dyDescent="0.25">
      <c r="A254" s="1"/>
      <c r="B254" s="1"/>
      <c r="C254" s="2"/>
      <c r="D254" s="143"/>
      <c r="E254" s="1"/>
      <c r="F254" s="1"/>
      <c r="G254" s="1"/>
      <c r="H254" s="1"/>
      <c r="I254" s="1"/>
      <c r="J254" s="1"/>
      <c r="K254" s="1"/>
      <c r="L254" s="1"/>
      <c r="M254" s="3"/>
      <c r="N254" s="3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</row>
    <row r="255" spans="1:34" ht="18" customHeight="1" x14ac:dyDescent="0.25">
      <c r="A255" s="1"/>
      <c r="B255" s="1"/>
      <c r="C255" s="2"/>
      <c r="D255" s="143"/>
      <c r="E255" s="1"/>
      <c r="F255" s="1"/>
      <c r="G255" s="1"/>
      <c r="H255" s="1"/>
      <c r="I255" s="1"/>
      <c r="J255" s="1"/>
      <c r="K255" s="1"/>
      <c r="L255" s="1"/>
      <c r="M255" s="3"/>
      <c r="N255" s="3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</row>
    <row r="256" spans="1:34" ht="18" customHeight="1" x14ac:dyDescent="0.25">
      <c r="A256" s="1"/>
      <c r="B256" s="1"/>
      <c r="C256" s="2"/>
      <c r="D256" s="143"/>
      <c r="E256" s="1"/>
      <c r="F256" s="1"/>
      <c r="G256" s="1"/>
      <c r="H256" s="1"/>
      <c r="I256" s="1"/>
      <c r="J256" s="1"/>
      <c r="K256" s="1"/>
      <c r="L256" s="1"/>
      <c r="M256" s="3"/>
      <c r="N256" s="3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</row>
    <row r="257" spans="1:34" ht="18" customHeight="1" x14ac:dyDescent="0.25">
      <c r="A257" s="1"/>
      <c r="B257" s="1"/>
      <c r="C257" s="2"/>
      <c r="D257" s="143"/>
      <c r="E257" s="1"/>
      <c r="F257" s="1"/>
      <c r="G257" s="1"/>
      <c r="H257" s="1"/>
      <c r="I257" s="1"/>
      <c r="J257" s="1"/>
      <c r="K257" s="1"/>
      <c r="L257" s="1"/>
      <c r="M257" s="3"/>
      <c r="N257" s="3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</row>
    <row r="258" spans="1:34" ht="18" customHeight="1" x14ac:dyDescent="0.25">
      <c r="A258" s="1"/>
      <c r="B258" s="1"/>
      <c r="C258" s="2"/>
      <c r="D258" s="143"/>
      <c r="E258" s="1"/>
      <c r="F258" s="1"/>
      <c r="G258" s="1"/>
      <c r="H258" s="1"/>
      <c r="I258" s="1"/>
      <c r="J258" s="1"/>
      <c r="K258" s="1"/>
      <c r="L258" s="1"/>
      <c r="M258" s="3"/>
      <c r="N258" s="3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</row>
    <row r="259" spans="1:34" ht="18" customHeight="1" x14ac:dyDescent="0.25">
      <c r="A259" s="1"/>
      <c r="B259" s="1"/>
      <c r="C259" s="2"/>
      <c r="D259" s="143"/>
      <c r="E259" s="1"/>
      <c r="F259" s="1"/>
      <c r="G259" s="1"/>
      <c r="H259" s="1"/>
      <c r="I259" s="1"/>
      <c r="J259" s="1"/>
      <c r="K259" s="1"/>
      <c r="L259" s="1"/>
      <c r="M259" s="3"/>
      <c r="N259" s="3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</row>
    <row r="260" spans="1:34" ht="18" customHeight="1" x14ac:dyDescent="0.25">
      <c r="A260" s="1"/>
      <c r="B260" s="1"/>
      <c r="C260" s="2"/>
      <c r="D260" s="143"/>
      <c r="E260" s="1"/>
      <c r="F260" s="1"/>
      <c r="G260" s="1"/>
      <c r="H260" s="1"/>
      <c r="I260" s="1"/>
      <c r="J260" s="1"/>
      <c r="K260" s="1"/>
      <c r="L260" s="1"/>
      <c r="M260" s="3"/>
      <c r="N260" s="3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</row>
    <row r="261" spans="1:34" ht="18" customHeight="1" x14ac:dyDescent="0.25">
      <c r="A261" s="1"/>
      <c r="B261" s="1"/>
      <c r="C261" s="2"/>
      <c r="D261" s="143"/>
      <c r="E261" s="1"/>
      <c r="F261" s="1"/>
      <c r="G261" s="1"/>
      <c r="H261" s="1"/>
      <c r="I261" s="1"/>
      <c r="J261" s="1"/>
      <c r="K261" s="1"/>
      <c r="L261" s="1"/>
      <c r="M261" s="3"/>
      <c r="N261" s="3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</row>
    <row r="262" spans="1:34" ht="18" customHeight="1" x14ac:dyDescent="0.25">
      <c r="A262" s="1"/>
      <c r="B262" s="1"/>
      <c r="C262" s="2"/>
      <c r="D262" s="143"/>
      <c r="E262" s="1"/>
      <c r="F262" s="1"/>
      <c r="G262" s="1"/>
      <c r="H262" s="1"/>
      <c r="I262" s="1"/>
      <c r="J262" s="1"/>
      <c r="K262" s="1"/>
      <c r="L262" s="1"/>
      <c r="M262" s="3"/>
      <c r="N262" s="3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</row>
    <row r="263" spans="1:34" ht="18" customHeight="1" x14ac:dyDescent="0.25">
      <c r="A263" s="1"/>
      <c r="B263" s="1"/>
      <c r="C263" s="2"/>
      <c r="D263" s="143"/>
      <c r="E263" s="1"/>
      <c r="F263" s="1"/>
      <c r="G263" s="1"/>
      <c r="H263" s="1"/>
      <c r="I263" s="1"/>
      <c r="J263" s="1"/>
      <c r="K263" s="1"/>
      <c r="L263" s="1"/>
      <c r="M263" s="3"/>
      <c r="N263" s="3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</row>
    <row r="264" spans="1:34" ht="18" customHeight="1" x14ac:dyDescent="0.25">
      <c r="A264" s="1"/>
      <c r="B264" s="1"/>
      <c r="C264" s="2"/>
      <c r="D264" s="143"/>
      <c r="E264" s="1"/>
      <c r="F264" s="1"/>
      <c r="G264" s="1"/>
      <c r="H264" s="1"/>
      <c r="I264" s="1"/>
      <c r="J264" s="1"/>
      <c r="K264" s="1"/>
      <c r="L264" s="1"/>
      <c r="M264" s="3"/>
      <c r="N264" s="3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</row>
    <row r="265" spans="1:34" ht="18" customHeight="1" x14ac:dyDescent="0.25">
      <c r="A265" s="1"/>
      <c r="B265" s="1"/>
      <c r="C265" s="2"/>
      <c r="D265" s="143"/>
      <c r="E265" s="1"/>
      <c r="F265" s="1"/>
      <c r="G265" s="1"/>
      <c r="H265" s="1"/>
      <c r="I265" s="1"/>
      <c r="J265" s="1"/>
      <c r="K265" s="1"/>
      <c r="L265" s="1"/>
      <c r="M265" s="3"/>
      <c r="N265" s="3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</row>
    <row r="266" spans="1:34" ht="18" customHeight="1" x14ac:dyDescent="0.25">
      <c r="A266" s="1"/>
      <c r="B266" s="1"/>
      <c r="C266" s="2"/>
      <c r="D266" s="143"/>
      <c r="E266" s="1"/>
      <c r="F266" s="1"/>
      <c r="G266" s="1"/>
      <c r="H266" s="1"/>
      <c r="I266" s="1"/>
      <c r="J266" s="1"/>
      <c r="K266" s="1"/>
      <c r="L266" s="1"/>
      <c r="M266" s="3"/>
      <c r="N266" s="3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</row>
    <row r="267" spans="1:34" ht="18" customHeight="1" x14ac:dyDescent="0.25">
      <c r="A267" s="1"/>
      <c r="B267" s="1"/>
      <c r="C267" s="2"/>
      <c r="D267" s="143"/>
      <c r="E267" s="1"/>
      <c r="F267" s="1"/>
      <c r="G267" s="1"/>
      <c r="H267" s="1"/>
      <c r="I267" s="1"/>
      <c r="J267" s="1"/>
      <c r="K267" s="1"/>
      <c r="L267" s="1"/>
      <c r="M267" s="3"/>
      <c r="N267" s="3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</row>
    <row r="268" spans="1:34" ht="18" customHeight="1" x14ac:dyDescent="0.25">
      <c r="A268" s="1"/>
      <c r="B268" s="1"/>
      <c r="C268" s="2"/>
      <c r="D268" s="143"/>
      <c r="E268" s="1"/>
      <c r="F268" s="1"/>
      <c r="G268" s="1"/>
      <c r="H268" s="1"/>
      <c r="I268" s="1"/>
      <c r="J268" s="1"/>
      <c r="K268" s="1"/>
      <c r="L268" s="1"/>
      <c r="M268" s="3"/>
      <c r="N268" s="3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</row>
    <row r="269" spans="1:34" ht="18" customHeight="1" x14ac:dyDescent="0.25">
      <c r="A269" s="1"/>
      <c r="B269" s="1"/>
      <c r="C269" s="2"/>
      <c r="D269" s="143"/>
      <c r="E269" s="1"/>
      <c r="F269" s="1"/>
      <c r="G269" s="1"/>
      <c r="H269" s="1"/>
      <c r="I269" s="1"/>
      <c r="J269" s="1"/>
      <c r="K269" s="1"/>
      <c r="L269" s="1"/>
      <c r="M269" s="3"/>
      <c r="N269" s="3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</row>
    <row r="270" spans="1:34" ht="18" customHeight="1" x14ac:dyDescent="0.25">
      <c r="A270" s="1"/>
      <c r="B270" s="1"/>
      <c r="C270" s="2"/>
      <c r="D270" s="143"/>
      <c r="E270" s="1"/>
      <c r="F270" s="1"/>
      <c r="G270" s="1"/>
      <c r="H270" s="1"/>
      <c r="I270" s="1"/>
      <c r="J270" s="1"/>
      <c r="K270" s="1"/>
      <c r="L270" s="1"/>
      <c r="M270" s="3"/>
      <c r="N270" s="3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</row>
    <row r="271" spans="1:34" ht="18" customHeight="1" x14ac:dyDescent="0.25">
      <c r="A271" s="1"/>
      <c r="B271" s="1"/>
      <c r="C271" s="2"/>
      <c r="D271" s="143"/>
      <c r="E271" s="1"/>
      <c r="F271" s="1"/>
      <c r="G271" s="1"/>
      <c r="H271" s="1"/>
      <c r="I271" s="1"/>
      <c r="J271" s="1"/>
      <c r="K271" s="1"/>
      <c r="L271" s="1"/>
      <c r="M271" s="3"/>
      <c r="N271" s="3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</row>
    <row r="272" spans="1:34" ht="18" customHeight="1" x14ac:dyDescent="0.25">
      <c r="A272" s="1"/>
      <c r="B272" s="1"/>
      <c r="C272" s="2"/>
      <c r="D272" s="143"/>
      <c r="E272" s="1"/>
      <c r="F272" s="1"/>
      <c r="G272" s="1"/>
      <c r="H272" s="1"/>
      <c r="I272" s="1"/>
      <c r="J272" s="1"/>
      <c r="K272" s="1"/>
      <c r="L272" s="1"/>
      <c r="M272" s="3"/>
      <c r="N272" s="3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</row>
    <row r="273" spans="1:34" ht="18" customHeight="1" x14ac:dyDescent="0.25">
      <c r="A273" s="1"/>
      <c r="B273" s="1"/>
      <c r="C273" s="2"/>
      <c r="D273" s="143"/>
      <c r="E273" s="1"/>
      <c r="F273" s="1"/>
      <c r="G273" s="1"/>
      <c r="H273" s="1"/>
      <c r="I273" s="1"/>
      <c r="J273" s="1"/>
      <c r="K273" s="1"/>
      <c r="L273" s="1"/>
      <c r="M273" s="3"/>
      <c r="N273" s="3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</row>
    <row r="274" spans="1:34" ht="18" customHeight="1" x14ac:dyDescent="0.25">
      <c r="A274" s="1"/>
      <c r="B274" s="1"/>
      <c r="C274" s="2"/>
      <c r="D274" s="143"/>
      <c r="E274" s="1"/>
      <c r="F274" s="1"/>
      <c r="G274" s="1"/>
      <c r="H274" s="1"/>
      <c r="I274" s="1"/>
      <c r="J274" s="1"/>
      <c r="K274" s="1"/>
      <c r="L274" s="1"/>
      <c r="M274" s="3"/>
      <c r="N274" s="3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</row>
    <row r="275" spans="1:34" ht="18" customHeight="1" x14ac:dyDescent="0.25">
      <c r="A275" s="1"/>
      <c r="B275" s="1"/>
      <c r="C275" s="2"/>
      <c r="D275" s="143"/>
      <c r="E275" s="1"/>
      <c r="F275" s="1"/>
      <c r="G275" s="1"/>
      <c r="H275" s="1"/>
      <c r="I275" s="1"/>
      <c r="J275" s="1"/>
      <c r="K275" s="1"/>
      <c r="L275" s="1"/>
      <c r="M275" s="3"/>
      <c r="N275" s="3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</row>
    <row r="276" spans="1:34" ht="18" customHeight="1" x14ac:dyDescent="0.25">
      <c r="A276" s="1"/>
      <c r="B276" s="1"/>
      <c r="C276" s="2"/>
      <c r="D276" s="143"/>
      <c r="E276" s="1"/>
      <c r="F276" s="1"/>
      <c r="G276" s="1"/>
      <c r="H276" s="1"/>
      <c r="I276" s="1"/>
      <c r="J276" s="1"/>
      <c r="K276" s="1"/>
      <c r="L276" s="1"/>
      <c r="M276" s="3"/>
      <c r="N276" s="3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</row>
    <row r="277" spans="1:34" ht="18" customHeight="1" x14ac:dyDescent="0.25">
      <c r="A277" s="1"/>
      <c r="B277" s="1"/>
      <c r="C277" s="2"/>
      <c r="D277" s="143"/>
      <c r="E277" s="1"/>
      <c r="F277" s="1"/>
      <c r="G277" s="1"/>
      <c r="H277" s="1"/>
      <c r="I277" s="1"/>
      <c r="J277" s="1"/>
      <c r="K277" s="1"/>
      <c r="L277" s="1"/>
      <c r="M277" s="3"/>
      <c r="N277" s="3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</row>
    <row r="278" spans="1:34" ht="18" customHeight="1" x14ac:dyDescent="0.25">
      <c r="A278" s="1"/>
      <c r="B278" s="1"/>
      <c r="C278" s="2"/>
      <c r="D278" s="143"/>
      <c r="E278" s="1"/>
      <c r="F278" s="1"/>
      <c r="G278" s="1"/>
      <c r="H278" s="1"/>
      <c r="I278" s="1"/>
      <c r="J278" s="1"/>
      <c r="K278" s="1"/>
      <c r="L278" s="1"/>
      <c r="M278" s="3"/>
      <c r="N278" s="3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</row>
    <row r="279" spans="1:34" ht="18" customHeight="1" x14ac:dyDescent="0.25">
      <c r="A279" s="1"/>
      <c r="B279" s="1"/>
      <c r="C279" s="2"/>
      <c r="D279" s="143"/>
      <c r="E279" s="1"/>
      <c r="F279" s="1"/>
      <c r="G279" s="1"/>
      <c r="H279" s="1"/>
      <c r="I279" s="1"/>
      <c r="J279" s="1"/>
      <c r="K279" s="1"/>
      <c r="L279" s="1"/>
      <c r="M279" s="3"/>
      <c r="N279" s="3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</row>
    <row r="280" spans="1:34" ht="18" customHeight="1" x14ac:dyDescent="0.25">
      <c r="A280" s="1"/>
      <c r="B280" s="1"/>
      <c r="C280" s="2"/>
      <c r="D280" s="143"/>
      <c r="E280" s="1"/>
      <c r="F280" s="1"/>
      <c r="G280" s="1"/>
      <c r="H280" s="1"/>
      <c r="I280" s="1"/>
      <c r="J280" s="1"/>
      <c r="K280" s="1"/>
      <c r="L280" s="1"/>
      <c r="M280" s="3"/>
      <c r="N280" s="3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</row>
    <row r="281" spans="1:34" ht="18" customHeight="1" x14ac:dyDescent="0.25">
      <c r="A281" s="1"/>
      <c r="B281" s="1"/>
      <c r="C281" s="2"/>
      <c r="D281" s="143"/>
      <c r="E281" s="1"/>
      <c r="F281" s="1"/>
      <c r="G281" s="1"/>
      <c r="H281" s="1"/>
      <c r="I281" s="1"/>
      <c r="J281" s="1"/>
      <c r="K281" s="1"/>
      <c r="L281" s="1"/>
      <c r="M281" s="3"/>
      <c r="N281" s="3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</row>
    <row r="282" spans="1:34" ht="18" customHeight="1" x14ac:dyDescent="0.25">
      <c r="A282" s="1"/>
      <c r="B282" s="1"/>
      <c r="C282" s="2"/>
      <c r="D282" s="143"/>
      <c r="E282" s="1"/>
      <c r="F282" s="1"/>
      <c r="G282" s="1"/>
      <c r="H282" s="1"/>
      <c r="I282" s="1"/>
      <c r="J282" s="1"/>
      <c r="K282" s="1"/>
      <c r="L282" s="1"/>
      <c r="M282" s="3"/>
      <c r="N282" s="3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</row>
    <row r="283" spans="1:34" ht="18" customHeight="1" x14ac:dyDescent="0.25">
      <c r="A283" s="1"/>
      <c r="B283" s="1"/>
      <c r="C283" s="2"/>
      <c r="D283" s="143"/>
      <c r="E283" s="1"/>
      <c r="F283" s="1"/>
      <c r="G283" s="1"/>
      <c r="H283" s="1"/>
      <c r="I283" s="1"/>
      <c r="J283" s="1"/>
      <c r="K283" s="1"/>
      <c r="L283" s="1"/>
      <c r="M283" s="3"/>
      <c r="N283" s="3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</row>
    <row r="284" spans="1:34" ht="18" customHeight="1" x14ac:dyDescent="0.25">
      <c r="A284" s="1"/>
      <c r="B284" s="1"/>
      <c r="C284" s="2"/>
      <c r="D284" s="143"/>
      <c r="E284" s="1"/>
      <c r="F284" s="1"/>
      <c r="G284" s="1"/>
      <c r="H284" s="1"/>
      <c r="I284" s="1"/>
      <c r="J284" s="1"/>
      <c r="K284" s="1"/>
      <c r="L284" s="1"/>
      <c r="M284" s="3"/>
      <c r="N284" s="3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</row>
    <row r="285" spans="1:34" ht="18" customHeight="1" x14ac:dyDescent="0.25">
      <c r="A285" s="1"/>
      <c r="B285" s="1"/>
      <c r="C285" s="2"/>
      <c r="D285" s="143"/>
      <c r="E285" s="1"/>
      <c r="F285" s="1"/>
      <c r="G285" s="1"/>
      <c r="H285" s="1"/>
      <c r="I285" s="1"/>
      <c r="J285" s="1"/>
      <c r="K285" s="1"/>
      <c r="L285" s="1"/>
      <c r="M285" s="3"/>
      <c r="N285" s="3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</row>
    <row r="286" spans="1:34" ht="18" customHeight="1" x14ac:dyDescent="0.25">
      <c r="A286" s="1"/>
      <c r="B286" s="1"/>
      <c r="C286" s="2"/>
      <c r="D286" s="143"/>
      <c r="E286" s="1"/>
      <c r="F286" s="1"/>
      <c r="G286" s="1"/>
      <c r="H286" s="1"/>
      <c r="I286" s="1"/>
      <c r="J286" s="1"/>
      <c r="K286" s="1"/>
      <c r="L286" s="1"/>
      <c r="M286" s="3"/>
      <c r="N286" s="3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</row>
    <row r="287" spans="1:34" ht="18" customHeight="1" x14ac:dyDescent="0.25">
      <c r="A287" s="1"/>
      <c r="B287" s="1"/>
      <c r="C287" s="2"/>
      <c r="D287" s="143"/>
      <c r="E287" s="1"/>
      <c r="F287" s="1"/>
      <c r="G287" s="1"/>
      <c r="H287" s="1"/>
      <c r="I287" s="1"/>
      <c r="J287" s="1"/>
      <c r="K287" s="1"/>
      <c r="L287" s="1"/>
      <c r="M287" s="3"/>
      <c r="N287" s="3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</row>
    <row r="288" spans="1:34" ht="18" customHeight="1" x14ac:dyDescent="0.25">
      <c r="A288" s="1"/>
      <c r="B288" s="1"/>
      <c r="C288" s="2"/>
      <c r="D288" s="143"/>
      <c r="E288" s="1"/>
      <c r="F288" s="1"/>
      <c r="G288" s="1"/>
      <c r="H288" s="1"/>
      <c r="I288" s="1"/>
      <c r="J288" s="1"/>
      <c r="K288" s="1"/>
      <c r="L288" s="1"/>
      <c r="M288" s="3"/>
      <c r="N288" s="3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</row>
    <row r="289" spans="1:34" ht="18" customHeight="1" x14ac:dyDescent="0.25">
      <c r="A289" s="1"/>
      <c r="B289" s="1"/>
      <c r="C289" s="2"/>
      <c r="D289" s="143"/>
      <c r="E289" s="1"/>
      <c r="F289" s="1"/>
      <c r="G289" s="1"/>
      <c r="H289" s="1"/>
      <c r="I289" s="1"/>
      <c r="J289" s="1"/>
      <c r="K289" s="1"/>
      <c r="L289" s="1"/>
      <c r="M289" s="3"/>
      <c r="N289" s="3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</row>
    <row r="290" spans="1:34" ht="18" customHeight="1" x14ac:dyDescent="0.25">
      <c r="A290" s="1"/>
      <c r="B290" s="1"/>
      <c r="C290" s="2"/>
      <c r="D290" s="143"/>
      <c r="E290" s="1"/>
      <c r="F290" s="1"/>
      <c r="G290" s="1"/>
      <c r="H290" s="1"/>
      <c r="I290" s="1"/>
      <c r="J290" s="1"/>
      <c r="K290" s="1"/>
      <c r="L290" s="1"/>
      <c r="M290" s="3"/>
      <c r="N290" s="3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</row>
    <row r="291" spans="1:34" ht="18" customHeight="1" x14ac:dyDescent="0.25">
      <c r="A291" s="1"/>
      <c r="B291" s="1"/>
      <c r="C291" s="2"/>
      <c r="D291" s="143"/>
      <c r="E291" s="1"/>
      <c r="F291" s="1"/>
      <c r="G291" s="1"/>
      <c r="H291" s="1"/>
      <c r="I291" s="1"/>
      <c r="J291" s="1"/>
      <c r="K291" s="1"/>
      <c r="L291" s="1"/>
      <c r="M291" s="3"/>
      <c r="N291" s="3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</row>
    <row r="292" spans="1:34" ht="18" customHeight="1" x14ac:dyDescent="0.25">
      <c r="A292" s="1"/>
      <c r="B292" s="1"/>
      <c r="C292" s="2"/>
      <c r="D292" s="143"/>
      <c r="E292" s="1"/>
      <c r="F292" s="1"/>
      <c r="G292" s="1"/>
      <c r="H292" s="1"/>
      <c r="I292" s="1"/>
      <c r="J292" s="1"/>
      <c r="K292" s="1"/>
      <c r="L292" s="1"/>
      <c r="M292" s="3"/>
      <c r="N292" s="3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</row>
    <row r="293" spans="1:34" ht="18" customHeight="1" x14ac:dyDescent="0.25">
      <c r="A293" s="1"/>
      <c r="B293" s="1"/>
      <c r="C293" s="2"/>
      <c r="D293" s="143"/>
      <c r="E293" s="1"/>
      <c r="F293" s="1"/>
      <c r="G293" s="1"/>
      <c r="H293" s="1"/>
      <c r="I293" s="1"/>
      <c r="J293" s="1"/>
      <c r="K293" s="1"/>
      <c r="L293" s="1"/>
      <c r="M293" s="3"/>
      <c r="N293" s="3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</row>
    <row r="294" spans="1:34" ht="18" customHeight="1" x14ac:dyDescent="0.25">
      <c r="A294" s="1"/>
      <c r="B294" s="1"/>
      <c r="C294" s="2"/>
      <c r="D294" s="143"/>
      <c r="E294" s="1"/>
      <c r="F294" s="1"/>
      <c r="G294" s="1"/>
      <c r="H294" s="1"/>
      <c r="I294" s="1"/>
      <c r="J294" s="1"/>
      <c r="K294" s="1"/>
      <c r="L294" s="1"/>
      <c r="M294" s="3"/>
      <c r="N294" s="3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</row>
    <row r="295" spans="1:34" ht="18" customHeight="1" x14ac:dyDescent="0.25">
      <c r="A295" s="1"/>
      <c r="B295" s="1"/>
      <c r="C295" s="2"/>
      <c r="D295" s="143"/>
      <c r="E295" s="1"/>
      <c r="F295" s="1"/>
      <c r="G295" s="1"/>
      <c r="H295" s="1"/>
      <c r="I295" s="1"/>
      <c r="J295" s="1"/>
      <c r="K295" s="1"/>
      <c r="L295" s="1"/>
      <c r="M295" s="3"/>
      <c r="N295" s="3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</row>
    <row r="296" spans="1:34" ht="18" customHeight="1" x14ac:dyDescent="0.25">
      <c r="A296" s="1"/>
      <c r="B296" s="1"/>
      <c r="C296" s="2"/>
      <c r="D296" s="143"/>
      <c r="E296" s="1"/>
      <c r="F296" s="1"/>
      <c r="G296" s="1"/>
      <c r="H296" s="1"/>
      <c r="I296" s="1"/>
      <c r="J296" s="1"/>
      <c r="K296" s="1"/>
      <c r="L296" s="1"/>
      <c r="M296" s="3"/>
      <c r="N296" s="3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</row>
    <row r="297" spans="1:34" ht="18" customHeight="1" x14ac:dyDescent="0.25">
      <c r="A297" s="1"/>
      <c r="B297" s="1"/>
      <c r="C297" s="2"/>
      <c r="D297" s="143"/>
      <c r="E297" s="1"/>
      <c r="F297" s="1"/>
      <c r="G297" s="1"/>
      <c r="H297" s="1"/>
      <c r="I297" s="1"/>
      <c r="J297" s="1"/>
      <c r="K297" s="1"/>
      <c r="L297" s="1"/>
      <c r="M297" s="3"/>
      <c r="N297" s="3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</row>
    <row r="298" spans="1:34" ht="18" customHeight="1" x14ac:dyDescent="0.25">
      <c r="A298" s="1"/>
      <c r="B298" s="1"/>
      <c r="C298" s="2"/>
      <c r="D298" s="143"/>
      <c r="E298" s="1"/>
      <c r="F298" s="1"/>
      <c r="G298" s="1"/>
      <c r="H298" s="1"/>
      <c r="I298" s="1"/>
      <c r="J298" s="1"/>
      <c r="K298" s="1"/>
      <c r="L298" s="1"/>
      <c r="M298" s="3"/>
      <c r="N298" s="3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</row>
    <row r="299" spans="1:34" ht="18" customHeight="1" x14ac:dyDescent="0.25">
      <c r="A299" s="1"/>
      <c r="B299" s="1"/>
      <c r="C299" s="2"/>
      <c r="D299" s="143"/>
      <c r="E299" s="1"/>
      <c r="F299" s="1"/>
      <c r="G299" s="1"/>
      <c r="H299" s="1"/>
      <c r="I299" s="1"/>
      <c r="J299" s="1"/>
      <c r="K299" s="1"/>
      <c r="L299" s="1"/>
      <c r="M299" s="3"/>
      <c r="N299" s="3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</row>
    <row r="300" spans="1:34" ht="18" customHeight="1" x14ac:dyDescent="0.25">
      <c r="A300" s="1"/>
      <c r="B300" s="1"/>
      <c r="C300" s="2"/>
      <c r="D300" s="143"/>
      <c r="E300" s="1"/>
      <c r="F300" s="1"/>
      <c r="G300" s="1"/>
      <c r="H300" s="1"/>
      <c r="I300" s="1"/>
      <c r="J300" s="1"/>
      <c r="K300" s="1"/>
      <c r="L300" s="1"/>
      <c r="M300" s="3"/>
      <c r="N300" s="3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</row>
    <row r="301" spans="1:34" ht="18" customHeight="1" x14ac:dyDescent="0.25">
      <c r="A301" s="1"/>
      <c r="B301" s="1"/>
      <c r="C301" s="2"/>
      <c r="D301" s="143"/>
      <c r="E301" s="1"/>
      <c r="F301" s="1"/>
      <c r="G301" s="1"/>
      <c r="H301" s="1"/>
      <c r="I301" s="1"/>
      <c r="J301" s="1"/>
      <c r="K301" s="1"/>
      <c r="L301" s="1"/>
      <c r="M301" s="3"/>
      <c r="N301" s="3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</row>
    <row r="302" spans="1:34" ht="18" customHeight="1" x14ac:dyDescent="0.25">
      <c r="A302" s="1"/>
      <c r="B302" s="1"/>
      <c r="C302" s="2"/>
      <c r="D302" s="143"/>
      <c r="E302" s="1"/>
      <c r="F302" s="1"/>
      <c r="G302" s="1"/>
      <c r="H302" s="1"/>
      <c r="I302" s="1"/>
      <c r="J302" s="1"/>
      <c r="K302" s="1"/>
      <c r="L302" s="1"/>
      <c r="M302" s="3"/>
      <c r="N302" s="3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</row>
    <row r="303" spans="1:34" ht="18" customHeight="1" x14ac:dyDescent="0.25">
      <c r="A303" s="1"/>
      <c r="B303" s="1"/>
      <c r="C303" s="2"/>
      <c r="D303" s="143"/>
      <c r="E303" s="1"/>
      <c r="F303" s="1"/>
      <c r="G303" s="1"/>
      <c r="H303" s="1"/>
      <c r="I303" s="1"/>
      <c r="J303" s="1"/>
      <c r="K303" s="1"/>
      <c r="L303" s="1"/>
      <c r="M303" s="3"/>
      <c r="N303" s="3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</row>
    <row r="304" spans="1:34" ht="18" customHeight="1" x14ac:dyDescent="0.25">
      <c r="A304" s="1"/>
      <c r="B304" s="1"/>
      <c r="C304" s="2"/>
      <c r="D304" s="143"/>
      <c r="E304" s="1"/>
      <c r="F304" s="1"/>
      <c r="G304" s="1"/>
      <c r="H304" s="1"/>
      <c r="I304" s="1"/>
      <c r="J304" s="1"/>
      <c r="K304" s="1"/>
      <c r="L304" s="1"/>
      <c r="M304" s="3"/>
      <c r="N304" s="3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</row>
    <row r="305" spans="1:34" ht="18" customHeight="1" x14ac:dyDescent="0.25">
      <c r="A305" s="1"/>
      <c r="B305" s="1"/>
      <c r="C305" s="2"/>
      <c r="D305" s="143"/>
      <c r="E305" s="1"/>
      <c r="F305" s="1"/>
      <c r="G305" s="1"/>
      <c r="H305" s="1"/>
      <c r="I305" s="1"/>
      <c r="J305" s="1"/>
      <c r="K305" s="1"/>
      <c r="L305" s="1"/>
      <c r="M305" s="3"/>
      <c r="N305" s="3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</row>
    <row r="306" spans="1:34" ht="18" customHeight="1" x14ac:dyDescent="0.25">
      <c r="A306" s="1"/>
      <c r="B306" s="1"/>
      <c r="C306" s="2"/>
      <c r="D306" s="143"/>
      <c r="E306" s="1"/>
      <c r="F306" s="1"/>
      <c r="G306" s="1"/>
      <c r="H306" s="1"/>
      <c r="I306" s="1"/>
      <c r="J306" s="1"/>
      <c r="K306" s="1"/>
      <c r="L306" s="1"/>
      <c r="M306" s="3"/>
      <c r="N306" s="3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</row>
    <row r="307" spans="1:34" ht="18" customHeight="1" x14ac:dyDescent="0.25">
      <c r="A307" s="1"/>
      <c r="B307" s="1"/>
      <c r="C307" s="2"/>
      <c r="D307" s="143"/>
      <c r="E307" s="1"/>
      <c r="F307" s="1"/>
      <c r="G307" s="1"/>
      <c r="H307" s="1"/>
      <c r="I307" s="1"/>
      <c r="J307" s="1"/>
      <c r="K307" s="1"/>
      <c r="L307" s="1"/>
      <c r="M307" s="3"/>
      <c r="N307" s="3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</row>
    <row r="308" spans="1:34" ht="18" customHeight="1" x14ac:dyDescent="0.25">
      <c r="A308" s="1"/>
      <c r="B308" s="1"/>
      <c r="C308" s="2"/>
      <c r="D308" s="143"/>
      <c r="E308" s="1"/>
      <c r="F308" s="1"/>
      <c r="G308" s="1"/>
      <c r="H308" s="1"/>
      <c r="I308" s="1"/>
      <c r="J308" s="1"/>
      <c r="K308" s="1"/>
      <c r="L308" s="1"/>
      <c r="M308" s="3"/>
      <c r="N308" s="3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</row>
    <row r="309" spans="1:34" ht="18" customHeight="1" x14ac:dyDescent="0.25">
      <c r="A309" s="1"/>
      <c r="B309" s="1"/>
      <c r="C309" s="2"/>
      <c r="D309" s="143"/>
      <c r="E309" s="1"/>
      <c r="F309" s="1"/>
      <c r="G309" s="1"/>
      <c r="H309" s="1"/>
      <c r="I309" s="1"/>
      <c r="J309" s="1"/>
      <c r="K309" s="1"/>
      <c r="L309" s="1"/>
      <c r="M309" s="3"/>
      <c r="N309" s="3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</row>
    <row r="310" spans="1:34" ht="18" customHeight="1" x14ac:dyDescent="0.25">
      <c r="A310" s="1"/>
      <c r="B310" s="1"/>
      <c r="C310" s="2"/>
      <c r="D310" s="143"/>
      <c r="E310" s="1"/>
      <c r="F310" s="1"/>
      <c r="G310" s="1"/>
      <c r="H310" s="1"/>
      <c r="I310" s="1"/>
      <c r="J310" s="1"/>
      <c r="K310" s="1"/>
      <c r="L310" s="1"/>
      <c r="M310" s="3"/>
      <c r="N310" s="3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</row>
    <row r="311" spans="1:34" ht="18" customHeight="1" x14ac:dyDescent="0.25">
      <c r="A311" s="1"/>
      <c r="B311" s="1"/>
      <c r="C311" s="2"/>
      <c r="D311" s="143"/>
      <c r="E311" s="1"/>
      <c r="F311" s="1"/>
      <c r="G311" s="1"/>
      <c r="H311" s="1"/>
      <c r="I311" s="1"/>
      <c r="J311" s="1"/>
      <c r="K311" s="1"/>
      <c r="L311" s="1"/>
      <c r="M311" s="3"/>
      <c r="N311" s="3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</row>
    <row r="312" spans="1:34" ht="18" customHeight="1" x14ac:dyDescent="0.25">
      <c r="A312" s="1"/>
      <c r="B312" s="1"/>
      <c r="C312" s="2"/>
      <c r="D312" s="143"/>
      <c r="E312" s="1"/>
      <c r="F312" s="1"/>
      <c r="G312" s="1"/>
      <c r="H312" s="1"/>
      <c r="I312" s="1"/>
      <c r="J312" s="1"/>
      <c r="K312" s="1"/>
      <c r="L312" s="1"/>
      <c r="M312" s="3"/>
      <c r="N312" s="3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</row>
    <row r="313" spans="1:34" ht="18" customHeight="1" x14ac:dyDescent="0.25">
      <c r="A313" s="1"/>
      <c r="B313" s="1"/>
      <c r="C313" s="2"/>
      <c r="D313" s="143"/>
      <c r="E313" s="1"/>
      <c r="F313" s="1"/>
      <c r="G313" s="1"/>
      <c r="H313" s="1"/>
      <c r="I313" s="1"/>
      <c r="J313" s="1"/>
      <c r="K313" s="1"/>
      <c r="L313" s="1"/>
      <c r="M313" s="3"/>
      <c r="N313" s="3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</row>
    <row r="314" spans="1:34" ht="18" customHeight="1" x14ac:dyDescent="0.25">
      <c r="A314" s="1"/>
      <c r="B314" s="1"/>
      <c r="C314" s="2"/>
      <c r="D314" s="143"/>
      <c r="E314" s="1"/>
      <c r="F314" s="1"/>
      <c r="G314" s="1"/>
      <c r="H314" s="1"/>
      <c r="I314" s="1"/>
      <c r="J314" s="1"/>
      <c r="K314" s="1"/>
      <c r="L314" s="1"/>
      <c r="M314" s="3"/>
      <c r="N314" s="3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</row>
    <row r="315" spans="1:34" ht="18" customHeight="1" x14ac:dyDescent="0.25">
      <c r="A315" s="1"/>
      <c r="B315" s="1"/>
      <c r="C315" s="2"/>
      <c r="D315" s="143"/>
      <c r="E315" s="1"/>
      <c r="F315" s="1"/>
      <c r="G315" s="1"/>
      <c r="H315" s="1"/>
      <c r="I315" s="1"/>
      <c r="J315" s="1"/>
      <c r="K315" s="1"/>
      <c r="L315" s="1"/>
      <c r="M315" s="3"/>
      <c r="N315" s="3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</row>
    <row r="316" spans="1:34" ht="18" customHeight="1" x14ac:dyDescent="0.25">
      <c r="A316" s="1"/>
      <c r="B316" s="1"/>
      <c r="C316" s="2"/>
      <c r="D316" s="143"/>
      <c r="E316" s="1"/>
      <c r="F316" s="1"/>
      <c r="G316" s="1"/>
      <c r="H316" s="1"/>
      <c r="I316" s="1"/>
      <c r="J316" s="1"/>
      <c r="K316" s="1"/>
      <c r="L316" s="1"/>
      <c r="M316" s="3"/>
      <c r="N316" s="3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</row>
    <row r="317" spans="1:34" ht="18" customHeight="1" x14ac:dyDescent="0.25">
      <c r="A317" s="1"/>
      <c r="B317" s="1"/>
      <c r="C317" s="2"/>
      <c r="D317" s="143"/>
      <c r="E317" s="1"/>
      <c r="F317" s="1"/>
      <c r="G317" s="1"/>
      <c r="H317" s="1"/>
      <c r="I317" s="1"/>
      <c r="J317" s="1"/>
      <c r="K317" s="1"/>
      <c r="L317" s="1"/>
      <c r="M317" s="3"/>
      <c r="N317" s="3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</row>
    <row r="318" spans="1:34" ht="18" customHeight="1" x14ac:dyDescent="0.25">
      <c r="A318" s="1"/>
      <c r="B318" s="1"/>
      <c r="C318" s="2"/>
      <c r="D318" s="143"/>
      <c r="E318" s="1"/>
      <c r="F318" s="1"/>
      <c r="G318" s="1"/>
      <c r="H318" s="1"/>
      <c r="I318" s="1"/>
      <c r="J318" s="1"/>
      <c r="K318" s="1"/>
      <c r="L318" s="1"/>
      <c r="M318" s="3"/>
      <c r="N318" s="3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</row>
    <row r="319" spans="1:34" ht="18" customHeight="1" x14ac:dyDescent="0.25">
      <c r="A319" s="1"/>
      <c r="B319" s="1"/>
      <c r="C319" s="2"/>
      <c r="D319" s="143"/>
      <c r="E319" s="1"/>
      <c r="F319" s="1"/>
      <c r="G319" s="1"/>
      <c r="H319" s="1"/>
      <c r="I319" s="1"/>
      <c r="J319" s="1"/>
      <c r="K319" s="1"/>
      <c r="L319" s="1"/>
      <c r="M319" s="3"/>
      <c r="N319" s="3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</row>
    <row r="320" spans="1:34" ht="18" customHeight="1" x14ac:dyDescent="0.25">
      <c r="A320" s="1"/>
      <c r="B320" s="1"/>
      <c r="C320" s="2"/>
      <c r="D320" s="143"/>
      <c r="E320" s="1"/>
      <c r="F320" s="1"/>
      <c r="G320" s="1"/>
      <c r="H320" s="1"/>
      <c r="I320" s="1"/>
      <c r="J320" s="1"/>
      <c r="K320" s="1"/>
      <c r="L320" s="1"/>
      <c r="M320" s="3"/>
      <c r="N320" s="3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</row>
    <row r="321" spans="1:34" ht="18" customHeight="1" x14ac:dyDescent="0.25">
      <c r="A321" s="1"/>
      <c r="B321" s="1"/>
      <c r="C321" s="2"/>
      <c r="D321" s="143"/>
      <c r="E321" s="1"/>
      <c r="F321" s="1"/>
      <c r="G321" s="1"/>
      <c r="H321" s="1"/>
      <c r="I321" s="1"/>
      <c r="J321" s="1"/>
      <c r="K321" s="1"/>
      <c r="L321" s="1"/>
      <c r="M321" s="3"/>
      <c r="N321" s="3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</row>
    <row r="322" spans="1:34" ht="18" customHeight="1" x14ac:dyDescent="0.25">
      <c r="A322" s="1"/>
      <c r="B322" s="1"/>
      <c r="C322" s="2"/>
      <c r="D322" s="143"/>
      <c r="E322" s="1"/>
      <c r="F322" s="1"/>
      <c r="G322" s="1"/>
      <c r="H322" s="1"/>
      <c r="I322" s="1"/>
      <c r="J322" s="1"/>
      <c r="K322" s="1"/>
      <c r="L322" s="1"/>
      <c r="M322" s="3"/>
      <c r="N322" s="3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</row>
    <row r="323" spans="1:34" ht="18" customHeight="1" x14ac:dyDescent="0.25">
      <c r="A323" s="1"/>
      <c r="B323" s="1"/>
      <c r="C323" s="2"/>
      <c r="D323" s="143"/>
      <c r="E323" s="1"/>
      <c r="F323" s="1"/>
      <c r="G323" s="1"/>
      <c r="H323" s="1"/>
      <c r="I323" s="1"/>
      <c r="J323" s="1"/>
      <c r="K323" s="1"/>
      <c r="L323" s="1"/>
      <c r="M323" s="3"/>
      <c r="N323" s="3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</row>
    <row r="324" spans="1:34" ht="18" customHeight="1" x14ac:dyDescent="0.25">
      <c r="A324" s="1"/>
      <c r="B324" s="1"/>
      <c r="C324" s="2"/>
      <c r="D324" s="143"/>
      <c r="E324" s="1"/>
      <c r="F324" s="1"/>
      <c r="G324" s="1"/>
      <c r="H324" s="1"/>
      <c r="I324" s="1"/>
      <c r="J324" s="1"/>
      <c r="K324" s="1"/>
      <c r="L324" s="1"/>
      <c r="M324" s="3"/>
      <c r="N324" s="3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</row>
    <row r="325" spans="1:34" ht="18" customHeight="1" x14ac:dyDescent="0.25">
      <c r="A325" s="1"/>
      <c r="B325" s="1"/>
      <c r="C325" s="2"/>
      <c r="D325" s="143"/>
      <c r="E325" s="1"/>
      <c r="F325" s="1"/>
      <c r="G325" s="1"/>
      <c r="H325" s="1"/>
      <c r="I325" s="1"/>
      <c r="J325" s="1"/>
      <c r="K325" s="1"/>
      <c r="L325" s="1"/>
      <c r="M325" s="3"/>
      <c r="N325" s="3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</row>
    <row r="326" spans="1:34" ht="18" customHeight="1" x14ac:dyDescent="0.25">
      <c r="A326" s="1"/>
      <c r="B326" s="1"/>
      <c r="C326" s="2"/>
      <c r="D326" s="143"/>
      <c r="E326" s="1"/>
      <c r="F326" s="1"/>
      <c r="G326" s="1"/>
      <c r="H326" s="1"/>
      <c r="I326" s="1"/>
      <c r="J326" s="1"/>
      <c r="K326" s="1"/>
      <c r="L326" s="1"/>
      <c r="M326" s="3"/>
      <c r="N326" s="3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</row>
    <row r="327" spans="1:34" ht="18" customHeight="1" x14ac:dyDescent="0.25">
      <c r="A327" s="1"/>
      <c r="B327" s="1"/>
      <c r="C327" s="2"/>
      <c r="D327" s="143"/>
      <c r="E327" s="1"/>
      <c r="F327" s="1"/>
      <c r="G327" s="1"/>
      <c r="H327" s="1"/>
      <c r="I327" s="1"/>
      <c r="J327" s="1"/>
      <c r="K327" s="1"/>
      <c r="L327" s="1"/>
      <c r="M327" s="3"/>
      <c r="N327" s="3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</row>
    <row r="328" spans="1:34" ht="18" customHeight="1" x14ac:dyDescent="0.25">
      <c r="A328" s="1"/>
      <c r="B328" s="1"/>
      <c r="C328" s="2"/>
      <c r="D328" s="143"/>
      <c r="E328" s="1"/>
      <c r="F328" s="1"/>
      <c r="G328" s="1"/>
      <c r="H328" s="1"/>
      <c r="I328" s="1"/>
      <c r="J328" s="1"/>
      <c r="K328" s="1"/>
      <c r="L328" s="1"/>
      <c r="M328" s="3"/>
      <c r="N328" s="3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</row>
    <row r="329" spans="1:34" ht="18" customHeight="1" x14ac:dyDescent="0.25">
      <c r="A329" s="1"/>
      <c r="B329" s="1"/>
      <c r="C329" s="2"/>
      <c r="D329" s="143"/>
      <c r="E329" s="1"/>
      <c r="F329" s="1"/>
      <c r="G329" s="1"/>
      <c r="H329" s="1"/>
      <c r="I329" s="1"/>
      <c r="J329" s="1"/>
      <c r="K329" s="1"/>
      <c r="L329" s="1"/>
      <c r="M329" s="3"/>
      <c r="N329" s="3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</row>
    <row r="330" spans="1:34" ht="18" customHeight="1" x14ac:dyDescent="0.25">
      <c r="A330" s="1"/>
      <c r="B330" s="1"/>
      <c r="C330" s="2"/>
      <c r="D330" s="143"/>
      <c r="E330" s="1"/>
      <c r="F330" s="1"/>
      <c r="G330" s="1"/>
      <c r="H330" s="1"/>
      <c r="I330" s="1"/>
      <c r="J330" s="1"/>
      <c r="K330" s="1"/>
      <c r="L330" s="1"/>
      <c r="M330" s="3"/>
      <c r="N330" s="3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</row>
    <row r="331" spans="1:34" ht="18" customHeight="1" x14ac:dyDescent="0.25">
      <c r="A331" s="1"/>
      <c r="B331" s="1"/>
      <c r="C331" s="2"/>
      <c r="D331" s="143"/>
      <c r="E331" s="1"/>
      <c r="F331" s="1"/>
      <c r="G331" s="1"/>
      <c r="H331" s="1"/>
      <c r="I331" s="1"/>
      <c r="J331" s="1"/>
      <c r="K331" s="1"/>
      <c r="L331" s="1"/>
      <c r="M331" s="3"/>
      <c r="N331" s="3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</row>
    <row r="332" spans="1:34" ht="18" customHeight="1" x14ac:dyDescent="0.25">
      <c r="A332" s="1"/>
      <c r="B332" s="1"/>
      <c r="C332" s="2"/>
      <c r="D332" s="143"/>
      <c r="E332" s="1"/>
      <c r="F332" s="1"/>
      <c r="G332" s="1"/>
      <c r="H332" s="1"/>
      <c r="I332" s="1"/>
      <c r="J332" s="1"/>
      <c r="K332" s="1"/>
      <c r="L332" s="1"/>
      <c r="M332" s="3"/>
      <c r="N332" s="3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</row>
    <row r="333" spans="1:34" ht="18" customHeight="1" x14ac:dyDescent="0.25">
      <c r="A333" s="1"/>
      <c r="B333" s="1"/>
      <c r="C333" s="2"/>
      <c r="D333" s="143"/>
      <c r="E333" s="1"/>
      <c r="F333" s="1"/>
      <c r="G333" s="1"/>
      <c r="H333" s="1"/>
      <c r="I333" s="1"/>
      <c r="J333" s="1"/>
      <c r="K333" s="1"/>
      <c r="L333" s="1"/>
      <c r="M333" s="3"/>
      <c r="N333" s="3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</row>
    <row r="334" spans="1:34" ht="18" customHeight="1" x14ac:dyDescent="0.25">
      <c r="A334" s="1"/>
      <c r="B334" s="1"/>
      <c r="C334" s="2"/>
      <c r="D334" s="143"/>
      <c r="E334" s="1"/>
      <c r="F334" s="1"/>
      <c r="G334" s="1"/>
      <c r="H334" s="1"/>
      <c r="I334" s="1"/>
      <c r="J334" s="1"/>
      <c r="K334" s="1"/>
      <c r="L334" s="1"/>
      <c r="M334" s="3"/>
      <c r="N334" s="3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</row>
    <row r="335" spans="1:34" ht="18" customHeight="1" x14ac:dyDescent="0.25">
      <c r="A335" s="1"/>
      <c r="B335" s="1"/>
      <c r="C335" s="2"/>
      <c r="D335" s="143"/>
      <c r="E335" s="1"/>
      <c r="F335" s="1"/>
      <c r="G335" s="1"/>
      <c r="H335" s="1"/>
      <c r="I335" s="1"/>
      <c r="J335" s="1"/>
      <c r="K335" s="1"/>
      <c r="L335" s="1"/>
      <c r="M335" s="3"/>
      <c r="N335" s="3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</row>
    <row r="336" spans="1:34" ht="18" customHeight="1" x14ac:dyDescent="0.25">
      <c r="A336" s="1"/>
      <c r="B336" s="1"/>
      <c r="C336" s="2"/>
      <c r="D336" s="143"/>
      <c r="E336" s="1"/>
      <c r="F336" s="1"/>
      <c r="G336" s="1"/>
      <c r="H336" s="1"/>
      <c r="I336" s="1"/>
      <c r="J336" s="1"/>
      <c r="K336" s="1"/>
      <c r="L336" s="1"/>
      <c r="M336" s="3"/>
      <c r="N336" s="3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</row>
    <row r="337" spans="1:34" ht="18" customHeight="1" x14ac:dyDescent="0.25">
      <c r="A337" s="1"/>
      <c r="B337" s="1"/>
      <c r="C337" s="2"/>
      <c r="D337" s="143"/>
      <c r="E337" s="1"/>
      <c r="F337" s="1"/>
      <c r="G337" s="1"/>
      <c r="H337" s="1"/>
      <c r="I337" s="1"/>
      <c r="J337" s="1"/>
      <c r="K337" s="1"/>
      <c r="L337" s="1"/>
      <c r="M337" s="3"/>
      <c r="N337" s="3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</row>
    <row r="338" spans="1:34" ht="18" customHeight="1" x14ac:dyDescent="0.25">
      <c r="A338" s="1"/>
      <c r="B338" s="1"/>
      <c r="C338" s="2"/>
      <c r="D338" s="143"/>
      <c r="E338" s="1"/>
      <c r="F338" s="1"/>
      <c r="G338" s="1"/>
      <c r="H338" s="1"/>
      <c r="I338" s="1"/>
      <c r="J338" s="1"/>
      <c r="K338" s="1"/>
      <c r="L338" s="1"/>
      <c r="M338" s="3"/>
      <c r="N338" s="3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</row>
    <row r="339" spans="1:34" ht="18" customHeight="1" x14ac:dyDescent="0.25">
      <c r="A339" s="1"/>
      <c r="B339" s="1"/>
      <c r="C339" s="2"/>
      <c r="D339" s="143"/>
      <c r="E339" s="1"/>
      <c r="F339" s="1"/>
      <c r="G339" s="1"/>
      <c r="H339" s="1"/>
      <c r="I339" s="1"/>
      <c r="J339" s="1"/>
      <c r="K339" s="1"/>
      <c r="L339" s="1"/>
      <c r="M339" s="3"/>
      <c r="N339" s="3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</row>
    <row r="340" spans="1:34" ht="18" customHeight="1" x14ac:dyDescent="0.25">
      <c r="A340" s="1"/>
      <c r="B340" s="1"/>
      <c r="C340" s="2"/>
      <c r="D340" s="143"/>
      <c r="E340" s="1"/>
      <c r="F340" s="1"/>
      <c r="G340" s="1"/>
      <c r="H340" s="1"/>
      <c r="I340" s="1"/>
      <c r="J340" s="1"/>
      <c r="K340" s="1"/>
      <c r="L340" s="1"/>
      <c r="M340" s="3"/>
      <c r="N340" s="3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</row>
    <row r="341" spans="1:34" ht="18" customHeight="1" x14ac:dyDescent="0.25">
      <c r="A341" s="1"/>
      <c r="B341" s="1"/>
      <c r="C341" s="2"/>
      <c r="D341" s="143"/>
      <c r="E341" s="1"/>
      <c r="F341" s="1"/>
      <c r="G341" s="1"/>
      <c r="H341" s="1"/>
      <c r="I341" s="1"/>
      <c r="J341" s="1"/>
      <c r="K341" s="1"/>
      <c r="L341" s="1"/>
      <c r="M341" s="3"/>
      <c r="N341" s="3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</row>
    <row r="342" spans="1:34" ht="18" customHeight="1" x14ac:dyDescent="0.25">
      <c r="A342" s="1"/>
      <c r="B342" s="1"/>
      <c r="C342" s="2"/>
      <c r="D342" s="143"/>
      <c r="E342" s="1"/>
      <c r="F342" s="1"/>
      <c r="G342" s="1"/>
      <c r="H342" s="1"/>
      <c r="I342" s="1"/>
      <c r="J342" s="1"/>
      <c r="K342" s="1"/>
      <c r="L342" s="1"/>
      <c r="M342" s="3"/>
      <c r="N342" s="3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</row>
    <row r="343" spans="1:34" ht="18" customHeight="1" x14ac:dyDescent="0.25">
      <c r="A343" s="1"/>
      <c r="B343" s="1"/>
      <c r="C343" s="2"/>
      <c r="D343" s="143"/>
      <c r="E343" s="1"/>
      <c r="F343" s="1"/>
      <c r="G343" s="1"/>
      <c r="H343" s="1"/>
      <c r="I343" s="1"/>
      <c r="J343" s="1"/>
      <c r="K343" s="1"/>
      <c r="L343" s="1"/>
      <c r="M343" s="3"/>
      <c r="N343" s="3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</row>
    <row r="344" spans="1:34" ht="18" customHeight="1" x14ac:dyDescent="0.25">
      <c r="A344" s="1"/>
      <c r="B344" s="1"/>
      <c r="C344" s="2"/>
      <c r="D344" s="143"/>
      <c r="E344" s="1"/>
      <c r="F344" s="1"/>
      <c r="G344" s="1"/>
      <c r="H344" s="1"/>
      <c r="I344" s="1"/>
      <c r="J344" s="1"/>
      <c r="K344" s="1"/>
      <c r="L344" s="1"/>
      <c r="M344" s="3"/>
      <c r="N344" s="3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</row>
    <row r="345" spans="1:34" ht="18" customHeight="1" x14ac:dyDescent="0.25">
      <c r="A345" s="1"/>
      <c r="B345" s="1"/>
      <c r="C345" s="2"/>
      <c r="D345" s="143"/>
      <c r="E345" s="1"/>
      <c r="F345" s="1"/>
      <c r="G345" s="1"/>
      <c r="H345" s="1"/>
      <c r="I345" s="1"/>
      <c r="J345" s="1"/>
      <c r="K345" s="1"/>
      <c r="L345" s="1"/>
      <c r="M345" s="3"/>
      <c r="N345" s="3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</row>
    <row r="346" spans="1:34" ht="18" customHeight="1" x14ac:dyDescent="0.25">
      <c r="A346" s="1"/>
      <c r="B346" s="1"/>
      <c r="C346" s="2"/>
      <c r="D346" s="143"/>
      <c r="E346" s="1"/>
      <c r="F346" s="1"/>
      <c r="G346" s="1"/>
      <c r="H346" s="1"/>
      <c r="I346" s="1"/>
      <c r="J346" s="1"/>
      <c r="K346" s="1"/>
      <c r="L346" s="1"/>
      <c r="M346" s="3"/>
      <c r="N346" s="3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</row>
    <row r="347" spans="1:34" ht="18" customHeight="1" x14ac:dyDescent="0.25">
      <c r="A347" s="1"/>
      <c r="B347" s="1"/>
      <c r="C347" s="2"/>
      <c r="D347" s="143"/>
      <c r="E347" s="1"/>
      <c r="F347" s="1"/>
      <c r="G347" s="1"/>
      <c r="H347" s="1"/>
      <c r="I347" s="1"/>
      <c r="J347" s="1"/>
      <c r="K347" s="1"/>
      <c r="L347" s="1"/>
      <c r="M347" s="3"/>
      <c r="N347" s="3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</row>
    <row r="348" spans="1:34" ht="18" customHeight="1" x14ac:dyDescent="0.25">
      <c r="A348" s="1"/>
      <c r="B348" s="1"/>
      <c r="C348" s="2"/>
      <c r="D348" s="143"/>
      <c r="E348" s="1"/>
      <c r="F348" s="1"/>
      <c r="G348" s="1"/>
      <c r="H348" s="1"/>
      <c r="I348" s="1"/>
      <c r="J348" s="1"/>
      <c r="K348" s="1"/>
      <c r="L348" s="1"/>
      <c r="M348" s="3"/>
      <c r="N348" s="3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</row>
    <row r="349" spans="1:34" ht="18" customHeight="1" x14ac:dyDescent="0.25">
      <c r="A349" s="1"/>
      <c r="B349" s="1"/>
      <c r="C349" s="2"/>
      <c r="D349" s="143"/>
      <c r="E349" s="1"/>
      <c r="F349" s="1"/>
      <c r="G349" s="1"/>
      <c r="H349" s="1"/>
      <c r="I349" s="1"/>
      <c r="J349" s="1"/>
      <c r="K349" s="1"/>
      <c r="L349" s="1"/>
      <c r="M349" s="3"/>
      <c r="N349" s="3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</row>
    <row r="350" spans="1:34" ht="18" customHeight="1" x14ac:dyDescent="0.25">
      <c r="A350" s="1"/>
      <c r="B350" s="1"/>
      <c r="C350" s="2"/>
      <c r="D350" s="143"/>
      <c r="E350" s="1"/>
      <c r="F350" s="1"/>
      <c r="G350" s="1"/>
      <c r="H350" s="1"/>
      <c r="I350" s="1"/>
      <c r="J350" s="1"/>
      <c r="K350" s="1"/>
      <c r="L350" s="1"/>
      <c r="M350" s="3"/>
      <c r="N350" s="3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</row>
    <row r="351" spans="1:34" ht="18" customHeight="1" x14ac:dyDescent="0.25">
      <c r="A351" s="1"/>
      <c r="B351" s="1"/>
      <c r="C351" s="2"/>
      <c r="D351" s="143"/>
      <c r="E351" s="1"/>
      <c r="F351" s="1"/>
      <c r="G351" s="1"/>
      <c r="H351" s="1"/>
      <c r="I351" s="1"/>
      <c r="J351" s="1"/>
      <c r="K351" s="1"/>
      <c r="L351" s="1"/>
      <c r="M351" s="3"/>
      <c r="N351" s="3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</row>
    <row r="352" spans="1:34" ht="18" customHeight="1" x14ac:dyDescent="0.25">
      <c r="A352" s="1"/>
      <c r="B352" s="1"/>
      <c r="C352" s="2"/>
      <c r="D352" s="143"/>
      <c r="E352" s="1"/>
      <c r="F352" s="1"/>
      <c r="G352" s="1"/>
      <c r="H352" s="1"/>
      <c r="I352" s="1"/>
      <c r="J352" s="1"/>
      <c r="K352" s="1"/>
      <c r="L352" s="1"/>
      <c r="M352" s="3"/>
      <c r="N352" s="3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</row>
    <row r="353" spans="1:34" ht="18" customHeight="1" x14ac:dyDescent="0.25">
      <c r="A353" s="1"/>
      <c r="B353" s="1"/>
      <c r="C353" s="2"/>
      <c r="D353" s="143"/>
      <c r="E353" s="1"/>
      <c r="F353" s="1"/>
      <c r="G353" s="1"/>
      <c r="H353" s="1"/>
      <c r="I353" s="1"/>
      <c r="J353" s="1"/>
      <c r="K353" s="1"/>
      <c r="L353" s="1"/>
      <c r="M353" s="3"/>
      <c r="N353" s="3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</row>
    <row r="354" spans="1:34" ht="18" customHeight="1" x14ac:dyDescent="0.25">
      <c r="A354" s="1"/>
      <c r="B354" s="1"/>
      <c r="C354" s="2"/>
      <c r="D354" s="143"/>
      <c r="E354" s="1"/>
      <c r="F354" s="1"/>
      <c r="G354" s="1"/>
      <c r="H354" s="1"/>
      <c r="I354" s="1"/>
      <c r="J354" s="1"/>
      <c r="K354" s="1"/>
      <c r="L354" s="1"/>
      <c r="M354" s="3"/>
      <c r="N354" s="3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</row>
    <row r="355" spans="1:34" ht="18" customHeight="1" x14ac:dyDescent="0.25">
      <c r="A355" s="1"/>
      <c r="B355" s="1"/>
      <c r="C355" s="2"/>
      <c r="D355" s="143"/>
      <c r="E355" s="1"/>
      <c r="F355" s="1"/>
      <c r="G355" s="1"/>
      <c r="H355" s="1"/>
      <c r="I355" s="1"/>
      <c r="J355" s="1"/>
      <c r="K355" s="1"/>
      <c r="L355" s="1"/>
      <c r="M355" s="3"/>
      <c r="N355" s="3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</row>
    <row r="356" spans="1:34" ht="18" customHeight="1" x14ac:dyDescent="0.25">
      <c r="A356" s="1"/>
      <c r="B356" s="1"/>
      <c r="C356" s="2"/>
      <c r="D356" s="143"/>
      <c r="E356" s="1"/>
      <c r="F356" s="1"/>
      <c r="G356" s="1"/>
      <c r="H356" s="1"/>
      <c r="I356" s="1"/>
      <c r="J356" s="1"/>
      <c r="K356" s="1"/>
      <c r="L356" s="1"/>
      <c r="M356" s="3"/>
      <c r="N356" s="3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</row>
    <row r="357" spans="1:34" ht="18" customHeight="1" x14ac:dyDescent="0.25">
      <c r="A357" s="1"/>
      <c r="B357" s="1"/>
      <c r="C357" s="2"/>
      <c r="D357" s="143"/>
      <c r="E357" s="1"/>
      <c r="F357" s="1"/>
      <c r="G357" s="1"/>
      <c r="H357" s="1"/>
      <c r="I357" s="1"/>
      <c r="J357" s="1"/>
      <c r="K357" s="1"/>
      <c r="L357" s="1"/>
      <c r="M357" s="3"/>
      <c r="N357" s="3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</row>
    <row r="358" spans="1:34" ht="18" customHeight="1" x14ac:dyDescent="0.25">
      <c r="A358" s="1"/>
      <c r="B358" s="1"/>
      <c r="C358" s="2"/>
      <c r="D358" s="143"/>
      <c r="E358" s="1"/>
      <c r="F358" s="1"/>
      <c r="G358" s="1"/>
      <c r="H358" s="1"/>
      <c r="I358" s="1"/>
      <c r="J358" s="1"/>
      <c r="K358" s="1"/>
      <c r="L358" s="1"/>
      <c r="M358" s="3"/>
      <c r="N358" s="3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</row>
    <row r="359" spans="1:34" ht="18" customHeight="1" x14ac:dyDescent="0.25">
      <c r="A359" s="1"/>
      <c r="B359" s="1"/>
      <c r="C359" s="2"/>
      <c r="D359" s="143"/>
      <c r="E359" s="1"/>
      <c r="F359" s="1"/>
      <c r="G359" s="1"/>
      <c r="H359" s="1"/>
      <c r="I359" s="1"/>
      <c r="J359" s="1"/>
      <c r="K359" s="1"/>
      <c r="L359" s="1"/>
      <c r="M359" s="3"/>
      <c r="N359" s="3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</row>
    <row r="360" spans="1:34" ht="18" customHeight="1" x14ac:dyDescent="0.25">
      <c r="A360" s="1"/>
      <c r="B360" s="1"/>
      <c r="C360" s="2"/>
      <c r="D360" s="143"/>
      <c r="E360" s="1"/>
      <c r="F360" s="1"/>
      <c r="G360" s="1"/>
      <c r="H360" s="1"/>
      <c r="I360" s="1"/>
      <c r="J360" s="1"/>
      <c r="K360" s="1"/>
      <c r="L360" s="1"/>
      <c r="M360" s="3"/>
      <c r="N360" s="3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</row>
    <row r="361" spans="1:34" ht="18" customHeight="1" x14ac:dyDescent="0.25">
      <c r="A361" s="1"/>
      <c r="B361" s="1"/>
      <c r="C361" s="2"/>
      <c r="D361" s="143"/>
      <c r="E361" s="1"/>
      <c r="F361" s="1"/>
      <c r="G361" s="1"/>
      <c r="H361" s="1"/>
      <c r="I361" s="1"/>
      <c r="J361" s="1"/>
      <c r="K361" s="1"/>
      <c r="L361" s="1"/>
      <c r="M361" s="3"/>
      <c r="N361" s="3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</row>
    <row r="362" spans="1:34" ht="18" customHeight="1" x14ac:dyDescent="0.25">
      <c r="A362" s="1"/>
      <c r="B362" s="1"/>
      <c r="C362" s="2"/>
      <c r="D362" s="143"/>
      <c r="E362" s="1"/>
      <c r="F362" s="1"/>
      <c r="G362" s="1"/>
      <c r="H362" s="1"/>
      <c r="I362" s="1"/>
      <c r="J362" s="1"/>
      <c r="K362" s="1"/>
      <c r="L362" s="1"/>
      <c r="M362" s="3"/>
      <c r="N362" s="3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</row>
    <row r="363" spans="1:34" ht="18" customHeight="1" x14ac:dyDescent="0.25">
      <c r="A363" s="1"/>
      <c r="B363" s="1"/>
      <c r="C363" s="2"/>
      <c r="D363" s="143"/>
      <c r="E363" s="1"/>
      <c r="F363" s="1"/>
      <c r="G363" s="1"/>
      <c r="H363" s="1"/>
      <c r="I363" s="1"/>
      <c r="J363" s="1"/>
      <c r="K363" s="1"/>
      <c r="L363" s="1"/>
      <c r="M363" s="3"/>
      <c r="N363" s="3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</row>
    <row r="364" spans="1:34" ht="18" customHeight="1" x14ac:dyDescent="0.25">
      <c r="A364" s="1"/>
      <c r="B364" s="1"/>
      <c r="C364" s="2"/>
      <c r="D364" s="143"/>
      <c r="E364" s="1"/>
      <c r="F364" s="1"/>
      <c r="G364" s="1"/>
      <c r="H364" s="1"/>
      <c r="I364" s="1"/>
      <c r="J364" s="1"/>
      <c r="K364" s="1"/>
      <c r="L364" s="1"/>
      <c r="M364" s="3"/>
      <c r="N364" s="3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</row>
    <row r="365" spans="1:34" ht="18" customHeight="1" x14ac:dyDescent="0.25">
      <c r="A365" s="1"/>
      <c r="B365" s="1"/>
      <c r="C365" s="2"/>
      <c r="D365" s="143"/>
      <c r="E365" s="1"/>
      <c r="F365" s="1"/>
      <c r="G365" s="1"/>
      <c r="H365" s="1"/>
      <c r="I365" s="1"/>
      <c r="J365" s="1"/>
      <c r="K365" s="1"/>
      <c r="L365" s="1"/>
      <c r="M365" s="3"/>
      <c r="N365" s="3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</row>
    <row r="366" spans="1:34" ht="18" customHeight="1" x14ac:dyDescent="0.25">
      <c r="A366" s="1"/>
      <c r="B366" s="1"/>
      <c r="C366" s="2"/>
      <c r="D366" s="143"/>
      <c r="E366" s="1"/>
      <c r="F366" s="1"/>
      <c r="G366" s="1"/>
      <c r="H366" s="1"/>
      <c r="I366" s="1"/>
      <c r="J366" s="1"/>
      <c r="K366" s="1"/>
      <c r="L366" s="1"/>
      <c r="M366" s="3"/>
      <c r="N366" s="3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</row>
    <row r="367" spans="1:34" ht="18" customHeight="1" x14ac:dyDescent="0.25">
      <c r="A367" s="1"/>
      <c r="B367" s="1"/>
      <c r="C367" s="2"/>
      <c r="D367" s="143"/>
      <c r="E367" s="1"/>
      <c r="F367" s="1"/>
      <c r="G367" s="1"/>
      <c r="H367" s="1"/>
      <c r="I367" s="1"/>
      <c r="J367" s="1"/>
      <c r="K367" s="1"/>
      <c r="L367" s="1"/>
      <c r="M367" s="3"/>
      <c r="N367" s="3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</row>
    <row r="368" spans="1:34" ht="18" customHeight="1" x14ac:dyDescent="0.25">
      <c r="A368" s="1"/>
      <c r="B368" s="1"/>
      <c r="C368" s="2"/>
      <c r="D368" s="143"/>
      <c r="E368" s="1"/>
      <c r="F368" s="1"/>
      <c r="G368" s="1"/>
      <c r="H368" s="1"/>
      <c r="I368" s="1"/>
      <c r="J368" s="1"/>
      <c r="K368" s="1"/>
      <c r="L368" s="1"/>
      <c r="M368" s="3"/>
      <c r="N368" s="3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</row>
    <row r="369" spans="1:34" ht="18" customHeight="1" x14ac:dyDescent="0.25">
      <c r="A369" s="1"/>
      <c r="B369" s="1"/>
      <c r="C369" s="2"/>
      <c r="D369" s="143"/>
      <c r="E369" s="1"/>
      <c r="F369" s="1"/>
      <c r="G369" s="1"/>
      <c r="H369" s="1"/>
      <c r="I369" s="1"/>
      <c r="J369" s="1"/>
      <c r="K369" s="1"/>
      <c r="L369" s="1"/>
      <c r="M369" s="3"/>
      <c r="N369" s="3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</row>
    <row r="370" spans="1:34" ht="18" customHeight="1" x14ac:dyDescent="0.25">
      <c r="A370" s="1"/>
      <c r="B370" s="1"/>
      <c r="C370" s="2"/>
      <c r="D370" s="143"/>
      <c r="E370" s="1"/>
      <c r="F370" s="1"/>
      <c r="G370" s="1"/>
      <c r="H370" s="1"/>
      <c r="I370" s="1"/>
      <c r="J370" s="1"/>
      <c r="K370" s="1"/>
      <c r="L370" s="1"/>
      <c r="M370" s="3"/>
      <c r="N370" s="3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</row>
    <row r="371" spans="1:34" ht="18" customHeight="1" x14ac:dyDescent="0.25">
      <c r="A371" s="1"/>
      <c r="B371" s="1"/>
      <c r="C371" s="2"/>
      <c r="D371" s="143"/>
      <c r="E371" s="1"/>
      <c r="F371" s="1"/>
      <c r="G371" s="1"/>
      <c r="H371" s="1"/>
      <c r="I371" s="1"/>
      <c r="J371" s="1"/>
      <c r="K371" s="1"/>
      <c r="L371" s="1"/>
      <c r="M371" s="3"/>
      <c r="N371" s="3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</row>
    <row r="372" spans="1:34" ht="18" customHeight="1" x14ac:dyDescent="0.25">
      <c r="A372" s="1"/>
      <c r="B372" s="1"/>
      <c r="C372" s="2"/>
      <c r="D372" s="143"/>
      <c r="E372" s="1"/>
      <c r="F372" s="1"/>
      <c r="G372" s="1"/>
      <c r="H372" s="1"/>
      <c r="I372" s="1"/>
      <c r="J372" s="1"/>
      <c r="K372" s="1"/>
      <c r="L372" s="1"/>
      <c r="M372" s="3"/>
      <c r="N372" s="3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</row>
    <row r="373" spans="1:34" ht="18" customHeight="1" x14ac:dyDescent="0.25">
      <c r="A373" s="1"/>
      <c r="B373" s="1"/>
      <c r="C373" s="2"/>
      <c r="D373" s="143"/>
      <c r="E373" s="1"/>
      <c r="F373" s="1"/>
      <c r="G373" s="1"/>
      <c r="H373" s="1"/>
      <c r="I373" s="1"/>
      <c r="J373" s="1"/>
      <c r="K373" s="1"/>
      <c r="L373" s="1"/>
      <c r="M373" s="3"/>
      <c r="N373" s="3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</row>
    <row r="374" spans="1:34" ht="18" customHeight="1" x14ac:dyDescent="0.25">
      <c r="A374" s="1"/>
      <c r="B374" s="1"/>
      <c r="C374" s="2"/>
      <c r="D374" s="143"/>
      <c r="E374" s="1"/>
      <c r="F374" s="1"/>
      <c r="G374" s="1"/>
      <c r="H374" s="1"/>
      <c r="I374" s="1"/>
      <c r="J374" s="1"/>
      <c r="K374" s="1"/>
      <c r="L374" s="1"/>
      <c r="M374" s="3"/>
      <c r="N374" s="3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</row>
    <row r="375" spans="1:34" ht="18" customHeight="1" x14ac:dyDescent="0.25">
      <c r="A375" s="1"/>
      <c r="B375" s="1"/>
      <c r="C375" s="2"/>
      <c r="D375" s="143"/>
      <c r="E375" s="1"/>
      <c r="F375" s="1"/>
      <c r="G375" s="1"/>
      <c r="H375" s="1"/>
      <c r="I375" s="1"/>
      <c r="J375" s="1"/>
      <c r="K375" s="1"/>
      <c r="L375" s="1"/>
      <c r="M375" s="3"/>
      <c r="N375" s="3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</row>
    <row r="376" spans="1:34" ht="18" customHeight="1" x14ac:dyDescent="0.25">
      <c r="A376" s="1"/>
      <c r="B376" s="1"/>
      <c r="C376" s="2"/>
      <c r="D376" s="143"/>
      <c r="E376" s="1"/>
      <c r="F376" s="1"/>
      <c r="G376" s="1"/>
      <c r="H376" s="1"/>
      <c r="I376" s="1"/>
      <c r="J376" s="1"/>
      <c r="K376" s="1"/>
      <c r="L376" s="1"/>
      <c r="M376" s="3"/>
      <c r="N376" s="3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</row>
    <row r="377" spans="1:34" ht="18" customHeight="1" x14ac:dyDescent="0.25">
      <c r="A377" s="1"/>
      <c r="B377" s="1"/>
      <c r="C377" s="2"/>
      <c r="D377" s="143"/>
      <c r="E377" s="1"/>
      <c r="F377" s="1"/>
      <c r="G377" s="1"/>
      <c r="H377" s="1"/>
      <c r="I377" s="1"/>
      <c r="J377" s="1"/>
      <c r="K377" s="1"/>
      <c r="L377" s="1"/>
      <c r="M377" s="3"/>
      <c r="N377" s="3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</row>
    <row r="378" spans="1:34" ht="18" customHeight="1" x14ac:dyDescent="0.25">
      <c r="A378" s="1"/>
      <c r="B378" s="1"/>
      <c r="C378" s="2"/>
      <c r="D378" s="143"/>
      <c r="E378" s="1"/>
      <c r="F378" s="1"/>
      <c r="G378" s="1"/>
      <c r="H378" s="1"/>
      <c r="I378" s="1"/>
      <c r="J378" s="1"/>
      <c r="K378" s="1"/>
      <c r="L378" s="1"/>
      <c r="M378" s="3"/>
      <c r="N378" s="3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</row>
    <row r="379" spans="1:34" ht="18" customHeight="1" x14ac:dyDescent="0.25">
      <c r="A379" s="1"/>
      <c r="B379" s="1"/>
      <c r="C379" s="2"/>
      <c r="D379" s="143"/>
      <c r="E379" s="1"/>
      <c r="F379" s="1"/>
      <c r="G379" s="1"/>
      <c r="H379" s="1"/>
      <c r="I379" s="1"/>
      <c r="J379" s="1"/>
      <c r="K379" s="1"/>
      <c r="L379" s="1"/>
      <c r="M379" s="3"/>
      <c r="N379" s="3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</row>
    <row r="380" spans="1:34" ht="18" customHeight="1" x14ac:dyDescent="0.25">
      <c r="A380" s="1"/>
      <c r="B380" s="1"/>
      <c r="C380" s="2"/>
      <c r="D380" s="143"/>
      <c r="E380" s="1"/>
      <c r="F380" s="1"/>
      <c r="G380" s="1"/>
      <c r="H380" s="1"/>
      <c r="I380" s="1"/>
      <c r="J380" s="1"/>
      <c r="K380" s="1"/>
      <c r="L380" s="1"/>
      <c r="M380" s="3"/>
      <c r="N380" s="3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</row>
    <row r="381" spans="1:34" ht="18" customHeight="1" x14ac:dyDescent="0.25">
      <c r="A381" s="1"/>
      <c r="B381" s="1"/>
      <c r="C381" s="2"/>
      <c r="D381" s="143"/>
      <c r="E381" s="1"/>
      <c r="F381" s="1"/>
      <c r="G381" s="1"/>
      <c r="H381" s="1"/>
      <c r="I381" s="1"/>
      <c r="J381" s="1"/>
      <c r="K381" s="1"/>
      <c r="L381" s="1"/>
      <c r="M381" s="3"/>
      <c r="N381" s="3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</row>
    <row r="382" spans="1:34" ht="18" customHeight="1" x14ac:dyDescent="0.25">
      <c r="A382" s="1"/>
      <c r="B382" s="1"/>
      <c r="C382" s="2"/>
      <c r="D382" s="143"/>
      <c r="E382" s="1"/>
      <c r="F382" s="1"/>
      <c r="G382" s="1"/>
      <c r="H382" s="1"/>
      <c r="I382" s="1"/>
      <c r="J382" s="1"/>
      <c r="K382" s="1"/>
      <c r="L382" s="1"/>
      <c r="M382" s="3"/>
      <c r="N382" s="3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</row>
    <row r="383" spans="1:34" ht="18" customHeight="1" x14ac:dyDescent="0.25">
      <c r="A383" s="1"/>
      <c r="B383" s="1"/>
      <c r="C383" s="2"/>
      <c r="D383" s="143"/>
      <c r="E383" s="1"/>
      <c r="F383" s="1"/>
      <c r="G383" s="1"/>
      <c r="H383" s="1"/>
      <c r="I383" s="1"/>
      <c r="J383" s="1"/>
      <c r="K383" s="1"/>
      <c r="L383" s="1"/>
      <c r="M383" s="3"/>
      <c r="N383" s="3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</row>
    <row r="384" spans="1:34" ht="18" customHeight="1" x14ac:dyDescent="0.25">
      <c r="A384" s="1"/>
      <c r="B384" s="1"/>
      <c r="C384" s="2"/>
      <c r="D384" s="143"/>
      <c r="E384" s="1"/>
      <c r="F384" s="1"/>
      <c r="G384" s="1"/>
      <c r="H384" s="1"/>
      <c r="I384" s="1"/>
      <c r="J384" s="1"/>
      <c r="K384" s="1"/>
      <c r="L384" s="1"/>
      <c r="M384" s="3"/>
      <c r="N384" s="3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</row>
    <row r="385" spans="1:34" ht="18" customHeight="1" x14ac:dyDescent="0.25">
      <c r="A385" s="1"/>
      <c r="B385" s="1"/>
      <c r="C385" s="2"/>
      <c r="D385" s="143"/>
      <c r="E385" s="1"/>
      <c r="F385" s="1"/>
      <c r="G385" s="1"/>
      <c r="H385" s="1"/>
      <c r="I385" s="1"/>
      <c r="J385" s="1"/>
      <c r="K385" s="1"/>
      <c r="L385" s="1"/>
      <c r="M385" s="3"/>
      <c r="N385" s="3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</row>
    <row r="386" spans="1:34" ht="18" customHeight="1" x14ac:dyDescent="0.25">
      <c r="A386" s="1"/>
      <c r="B386" s="1"/>
      <c r="C386" s="2"/>
      <c r="D386" s="143"/>
      <c r="E386" s="1"/>
      <c r="F386" s="1"/>
      <c r="G386" s="1"/>
      <c r="H386" s="1"/>
      <c r="I386" s="1"/>
      <c r="J386" s="1"/>
      <c r="K386" s="1"/>
      <c r="L386" s="1"/>
      <c r="M386" s="3"/>
      <c r="N386" s="3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</row>
    <row r="387" spans="1:34" ht="18" customHeight="1" x14ac:dyDescent="0.25">
      <c r="A387" s="1"/>
      <c r="B387" s="1"/>
      <c r="C387" s="2"/>
      <c r="D387" s="143"/>
      <c r="E387" s="1"/>
      <c r="F387" s="1"/>
      <c r="G387" s="1"/>
      <c r="H387" s="1"/>
      <c r="I387" s="1"/>
      <c r="J387" s="1"/>
      <c r="K387" s="1"/>
      <c r="L387" s="1"/>
      <c r="M387" s="3"/>
      <c r="N387" s="3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</row>
    <row r="388" spans="1:34" ht="18" customHeight="1" x14ac:dyDescent="0.25">
      <c r="A388" s="1"/>
      <c r="B388" s="1"/>
      <c r="C388" s="2"/>
      <c r="D388" s="143"/>
      <c r="E388" s="1"/>
      <c r="F388" s="1"/>
      <c r="G388" s="1"/>
      <c r="H388" s="1"/>
      <c r="I388" s="1"/>
      <c r="J388" s="1"/>
      <c r="K388" s="1"/>
      <c r="L388" s="1"/>
      <c r="M388" s="3"/>
      <c r="N388" s="3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</row>
    <row r="389" spans="1:34" ht="18" customHeight="1" x14ac:dyDescent="0.25">
      <c r="A389" s="1"/>
      <c r="B389" s="1"/>
      <c r="C389" s="2"/>
      <c r="D389" s="143"/>
      <c r="E389" s="1"/>
      <c r="F389" s="1"/>
      <c r="G389" s="1"/>
      <c r="H389" s="1"/>
      <c r="I389" s="1"/>
      <c r="J389" s="1"/>
      <c r="K389" s="1"/>
      <c r="L389" s="1"/>
      <c r="M389" s="3"/>
      <c r="N389" s="3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</row>
    <row r="390" spans="1:34" ht="18" customHeight="1" x14ac:dyDescent="0.25">
      <c r="A390" s="1"/>
      <c r="B390" s="1"/>
      <c r="C390" s="2"/>
      <c r="D390" s="143"/>
      <c r="E390" s="1"/>
      <c r="F390" s="1"/>
      <c r="G390" s="1"/>
      <c r="H390" s="1"/>
      <c r="I390" s="1"/>
      <c r="J390" s="1"/>
      <c r="K390" s="1"/>
      <c r="L390" s="1"/>
      <c r="M390" s="3"/>
      <c r="N390" s="3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</row>
    <row r="391" spans="1:34" ht="18" customHeight="1" x14ac:dyDescent="0.25">
      <c r="A391" s="1"/>
      <c r="B391" s="1"/>
      <c r="C391" s="2"/>
      <c r="D391" s="143"/>
      <c r="E391" s="1"/>
      <c r="F391" s="1"/>
      <c r="G391" s="1"/>
      <c r="H391" s="1"/>
      <c r="I391" s="1"/>
      <c r="J391" s="1"/>
      <c r="K391" s="1"/>
      <c r="L391" s="1"/>
      <c r="M391" s="3"/>
      <c r="N391" s="3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</row>
    <row r="392" spans="1:34" ht="18" customHeight="1" x14ac:dyDescent="0.25">
      <c r="A392" s="1"/>
      <c r="B392" s="1"/>
      <c r="C392" s="2"/>
      <c r="D392" s="143"/>
      <c r="E392" s="1"/>
      <c r="F392" s="1"/>
      <c r="G392" s="1"/>
      <c r="H392" s="1"/>
      <c r="I392" s="1"/>
      <c r="J392" s="1"/>
      <c r="K392" s="1"/>
      <c r="L392" s="1"/>
      <c r="M392" s="3"/>
      <c r="N392" s="3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</row>
    <row r="393" spans="1:34" ht="18" customHeight="1" x14ac:dyDescent="0.25">
      <c r="A393" s="1"/>
      <c r="B393" s="1"/>
      <c r="C393" s="2"/>
      <c r="D393" s="143"/>
      <c r="E393" s="1"/>
      <c r="F393" s="1"/>
      <c r="G393" s="1"/>
      <c r="H393" s="1"/>
      <c r="I393" s="1"/>
      <c r="J393" s="1"/>
      <c r="K393" s="1"/>
      <c r="L393" s="1"/>
      <c r="M393" s="3"/>
      <c r="N393" s="3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</row>
    <row r="394" spans="1:34" ht="18" customHeight="1" x14ac:dyDescent="0.25">
      <c r="A394" s="1"/>
      <c r="B394" s="1"/>
      <c r="C394" s="2"/>
      <c r="D394" s="143"/>
      <c r="E394" s="1"/>
      <c r="F394" s="1"/>
      <c r="G394" s="1"/>
      <c r="H394" s="1"/>
      <c r="I394" s="1"/>
      <c r="J394" s="1"/>
      <c r="K394" s="1"/>
      <c r="L394" s="1"/>
      <c r="M394" s="3"/>
      <c r="N394" s="3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</row>
    <row r="395" spans="1:34" ht="18" customHeight="1" x14ac:dyDescent="0.25">
      <c r="A395" s="1"/>
      <c r="B395" s="1"/>
      <c r="C395" s="2"/>
      <c r="D395" s="143"/>
      <c r="E395" s="1"/>
      <c r="F395" s="1"/>
      <c r="G395" s="1"/>
      <c r="H395" s="1"/>
      <c r="I395" s="1"/>
      <c r="J395" s="1"/>
      <c r="K395" s="1"/>
      <c r="L395" s="1"/>
      <c r="M395" s="3"/>
      <c r="N395" s="3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</row>
    <row r="396" spans="1:34" ht="18" customHeight="1" x14ac:dyDescent="0.25">
      <c r="A396" s="1"/>
      <c r="B396" s="1"/>
      <c r="C396" s="2"/>
      <c r="D396" s="143"/>
      <c r="E396" s="1"/>
      <c r="F396" s="1"/>
      <c r="G396" s="1"/>
      <c r="H396" s="1"/>
      <c r="I396" s="1"/>
      <c r="J396" s="1"/>
      <c r="K396" s="1"/>
      <c r="L396" s="1"/>
      <c r="M396" s="3"/>
      <c r="N396" s="3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</row>
    <row r="397" spans="1:34" ht="18" customHeight="1" x14ac:dyDescent="0.25">
      <c r="A397" s="1"/>
      <c r="B397" s="1"/>
      <c r="C397" s="2"/>
      <c r="D397" s="143"/>
      <c r="E397" s="1"/>
      <c r="F397" s="1"/>
      <c r="G397" s="1"/>
      <c r="H397" s="1"/>
      <c r="I397" s="1"/>
      <c r="J397" s="1"/>
      <c r="K397" s="1"/>
      <c r="L397" s="1"/>
      <c r="M397" s="3"/>
      <c r="N397" s="3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</row>
    <row r="398" spans="1:34" ht="18" customHeight="1" x14ac:dyDescent="0.25">
      <c r="A398" s="1"/>
      <c r="B398" s="1"/>
      <c r="C398" s="2"/>
      <c r="D398" s="143"/>
      <c r="E398" s="1"/>
      <c r="F398" s="1"/>
      <c r="G398" s="1"/>
      <c r="H398" s="1"/>
      <c r="I398" s="1"/>
      <c r="J398" s="1"/>
      <c r="K398" s="1"/>
      <c r="L398" s="1"/>
      <c r="M398" s="3"/>
      <c r="N398" s="3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</row>
    <row r="399" spans="1:34" ht="18" customHeight="1" x14ac:dyDescent="0.25">
      <c r="A399" s="1"/>
      <c r="B399" s="1"/>
      <c r="C399" s="2"/>
      <c r="D399" s="143"/>
      <c r="E399" s="1"/>
      <c r="F399" s="1"/>
      <c r="G399" s="1"/>
      <c r="H399" s="1"/>
      <c r="I399" s="1"/>
      <c r="J399" s="1"/>
      <c r="K399" s="1"/>
      <c r="L399" s="1"/>
      <c r="M399" s="3"/>
      <c r="N399" s="3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</row>
    <row r="400" spans="1:34" ht="18" customHeight="1" x14ac:dyDescent="0.25">
      <c r="A400" s="1"/>
      <c r="B400" s="1"/>
      <c r="C400" s="2"/>
      <c r="D400" s="143"/>
      <c r="E400" s="1"/>
      <c r="F400" s="1"/>
      <c r="G400" s="1"/>
      <c r="H400" s="1"/>
      <c r="I400" s="1"/>
      <c r="J400" s="1"/>
      <c r="K400" s="1"/>
      <c r="L400" s="1"/>
      <c r="M400" s="3"/>
      <c r="N400" s="3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</row>
    <row r="401" spans="1:34" ht="18" customHeight="1" x14ac:dyDescent="0.25">
      <c r="A401" s="1"/>
      <c r="B401" s="1"/>
      <c r="C401" s="2"/>
      <c r="D401" s="143"/>
      <c r="E401" s="1"/>
      <c r="F401" s="1"/>
      <c r="G401" s="1"/>
      <c r="H401" s="1"/>
      <c r="I401" s="1"/>
      <c r="J401" s="1"/>
      <c r="K401" s="1"/>
      <c r="L401" s="1"/>
      <c r="M401" s="3"/>
      <c r="N401" s="3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</row>
    <row r="402" spans="1:34" ht="18" customHeight="1" x14ac:dyDescent="0.25">
      <c r="A402" s="1"/>
      <c r="B402" s="1"/>
      <c r="C402" s="2"/>
      <c r="D402" s="143"/>
      <c r="E402" s="1"/>
      <c r="F402" s="1"/>
      <c r="G402" s="1"/>
      <c r="H402" s="1"/>
      <c r="I402" s="1"/>
      <c r="J402" s="1"/>
      <c r="K402" s="1"/>
      <c r="L402" s="1"/>
      <c r="M402" s="3"/>
      <c r="N402" s="3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</row>
    <row r="403" spans="1:34" ht="18" customHeight="1" x14ac:dyDescent="0.25">
      <c r="A403" s="1"/>
      <c r="B403" s="1"/>
      <c r="C403" s="2"/>
      <c r="D403" s="143"/>
      <c r="E403" s="1"/>
      <c r="F403" s="1"/>
      <c r="G403" s="1"/>
      <c r="H403" s="1"/>
      <c r="I403" s="1"/>
      <c r="J403" s="1"/>
      <c r="K403" s="1"/>
      <c r="L403" s="1"/>
      <c r="M403" s="3"/>
      <c r="N403" s="3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</row>
    <row r="404" spans="1:34" ht="18" customHeight="1" x14ac:dyDescent="0.25">
      <c r="A404" s="1"/>
      <c r="B404" s="1"/>
      <c r="C404" s="2"/>
      <c r="D404" s="143"/>
      <c r="E404" s="1"/>
      <c r="F404" s="1"/>
      <c r="G404" s="1"/>
      <c r="H404" s="1"/>
      <c r="I404" s="1"/>
      <c r="J404" s="1"/>
      <c r="K404" s="1"/>
      <c r="L404" s="1"/>
      <c r="M404" s="3"/>
      <c r="N404" s="3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</row>
    <row r="405" spans="1:34" ht="18" customHeight="1" x14ac:dyDescent="0.25">
      <c r="A405" s="1"/>
      <c r="B405" s="1"/>
      <c r="C405" s="2"/>
      <c r="D405" s="143"/>
      <c r="E405" s="1"/>
      <c r="F405" s="1"/>
      <c r="G405" s="1"/>
      <c r="H405" s="1"/>
      <c r="I405" s="1"/>
      <c r="J405" s="1"/>
      <c r="K405" s="1"/>
      <c r="L405" s="1"/>
      <c r="M405" s="3"/>
      <c r="N405" s="3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</row>
    <row r="406" spans="1:34" ht="18" customHeight="1" x14ac:dyDescent="0.25">
      <c r="A406" s="1"/>
      <c r="B406" s="1"/>
      <c r="C406" s="2"/>
      <c r="D406" s="143"/>
      <c r="E406" s="1"/>
      <c r="F406" s="1"/>
      <c r="G406" s="1"/>
      <c r="H406" s="1"/>
      <c r="I406" s="1"/>
      <c r="J406" s="1"/>
      <c r="K406" s="1"/>
      <c r="L406" s="1"/>
      <c r="M406" s="3"/>
      <c r="N406" s="3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</row>
    <row r="407" spans="1:34" ht="18" customHeight="1" x14ac:dyDescent="0.25">
      <c r="A407" s="1"/>
      <c r="B407" s="1"/>
      <c r="C407" s="2"/>
      <c r="D407" s="143"/>
      <c r="E407" s="1"/>
      <c r="F407" s="1"/>
      <c r="G407" s="1"/>
      <c r="H407" s="1"/>
      <c r="I407" s="1"/>
      <c r="J407" s="1"/>
      <c r="K407" s="1"/>
      <c r="L407" s="1"/>
      <c r="M407" s="3"/>
      <c r="N407" s="3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</row>
    <row r="408" spans="1:34" ht="18" customHeight="1" x14ac:dyDescent="0.25">
      <c r="A408" s="1"/>
      <c r="B408" s="1"/>
      <c r="C408" s="2"/>
      <c r="D408" s="143"/>
      <c r="E408" s="1"/>
      <c r="F408" s="1"/>
      <c r="G408" s="1"/>
      <c r="H408" s="1"/>
      <c r="I408" s="1"/>
      <c r="J408" s="1"/>
      <c r="K408" s="1"/>
      <c r="L408" s="1"/>
      <c r="M408" s="3"/>
      <c r="N408" s="3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</row>
    <row r="409" spans="1:34" ht="18" customHeight="1" x14ac:dyDescent="0.25">
      <c r="A409" s="1"/>
      <c r="B409" s="1"/>
      <c r="C409" s="2"/>
      <c r="D409" s="143"/>
      <c r="E409" s="1"/>
      <c r="F409" s="1"/>
      <c r="G409" s="1"/>
      <c r="H409" s="1"/>
      <c r="I409" s="1"/>
      <c r="J409" s="1"/>
      <c r="K409" s="1"/>
      <c r="L409" s="1"/>
      <c r="M409" s="3"/>
      <c r="N409" s="3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</row>
    <row r="410" spans="1:34" ht="18" customHeight="1" x14ac:dyDescent="0.25">
      <c r="A410" s="1"/>
      <c r="B410" s="1"/>
      <c r="C410" s="2"/>
      <c r="D410" s="143"/>
      <c r="E410" s="1"/>
      <c r="F410" s="1"/>
      <c r="G410" s="1"/>
      <c r="H410" s="1"/>
      <c r="I410" s="1"/>
      <c r="J410" s="1"/>
      <c r="K410" s="1"/>
      <c r="L410" s="1"/>
      <c r="M410" s="3"/>
      <c r="N410" s="3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</row>
    <row r="411" spans="1:34" ht="18" customHeight="1" x14ac:dyDescent="0.25">
      <c r="A411" s="1"/>
      <c r="B411" s="1"/>
      <c r="C411" s="2"/>
      <c r="D411" s="143"/>
      <c r="E411" s="1"/>
      <c r="F411" s="1"/>
      <c r="G411" s="1"/>
      <c r="H411" s="1"/>
      <c r="I411" s="1"/>
      <c r="J411" s="1"/>
      <c r="K411" s="1"/>
      <c r="L411" s="1"/>
      <c r="M411" s="3"/>
      <c r="N411" s="3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</row>
    <row r="412" spans="1:34" ht="18" customHeight="1" x14ac:dyDescent="0.25">
      <c r="A412" s="1"/>
      <c r="B412" s="1"/>
      <c r="C412" s="2"/>
      <c r="D412" s="143"/>
      <c r="E412" s="1"/>
      <c r="F412" s="1"/>
      <c r="G412" s="1"/>
      <c r="H412" s="1"/>
      <c r="I412" s="1"/>
      <c r="J412" s="1"/>
      <c r="K412" s="1"/>
      <c r="L412" s="1"/>
      <c r="M412" s="3"/>
      <c r="N412" s="3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</row>
    <row r="413" spans="1:34" ht="18" customHeight="1" x14ac:dyDescent="0.25">
      <c r="A413" s="1"/>
      <c r="B413" s="1"/>
      <c r="C413" s="2"/>
      <c r="D413" s="143"/>
      <c r="E413" s="1"/>
      <c r="F413" s="1"/>
      <c r="G413" s="1"/>
      <c r="H413" s="1"/>
      <c r="I413" s="1"/>
      <c r="J413" s="1"/>
      <c r="K413" s="1"/>
      <c r="L413" s="1"/>
      <c r="M413" s="3"/>
      <c r="N413" s="3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</row>
    <row r="414" spans="1:34" ht="18" customHeight="1" x14ac:dyDescent="0.25">
      <c r="A414" s="1"/>
      <c r="B414" s="1"/>
      <c r="C414" s="2"/>
      <c r="D414" s="143"/>
      <c r="E414" s="1"/>
      <c r="F414" s="1"/>
      <c r="G414" s="1"/>
      <c r="H414" s="1"/>
      <c r="I414" s="1"/>
      <c r="J414" s="1"/>
      <c r="K414" s="1"/>
      <c r="L414" s="1"/>
      <c r="M414" s="3"/>
      <c r="N414" s="3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</row>
    <row r="415" spans="1:34" ht="18" customHeight="1" x14ac:dyDescent="0.25">
      <c r="A415" s="1"/>
      <c r="B415" s="1"/>
      <c r="C415" s="2"/>
      <c r="D415" s="143"/>
      <c r="E415" s="1"/>
      <c r="F415" s="1"/>
      <c r="G415" s="1"/>
      <c r="H415" s="1"/>
      <c r="I415" s="1"/>
      <c r="J415" s="1"/>
      <c r="K415" s="1"/>
      <c r="L415" s="1"/>
      <c r="M415" s="3"/>
      <c r="N415" s="3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</row>
    <row r="416" spans="1:34" ht="18" customHeight="1" x14ac:dyDescent="0.25">
      <c r="A416" s="1"/>
      <c r="B416" s="1"/>
      <c r="C416" s="2"/>
      <c r="D416" s="143"/>
      <c r="E416" s="1"/>
      <c r="F416" s="1"/>
      <c r="G416" s="1"/>
      <c r="H416" s="1"/>
      <c r="I416" s="1"/>
      <c r="J416" s="1"/>
      <c r="K416" s="1"/>
      <c r="L416" s="1"/>
      <c r="M416" s="3"/>
      <c r="N416" s="3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</row>
    <row r="417" spans="1:34" ht="18" customHeight="1" x14ac:dyDescent="0.25">
      <c r="A417" s="1"/>
      <c r="B417" s="1"/>
      <c r="C417" s="2"/>
      <c r="D417" s="143"/>
      <c r="E417" s="1"/>
      <c r="F417" s="1"/>
      <c r="G417" s="1"/>
      <c r="H417" s="1"/>
      <c r="I417" s="1"/>
      <c r="J417" s="1"/>
      <c r="K417" s="1"/>
      <c r="L417" s="1"/>
      <c r="M417" s="3"/>
      <c r="N417" s="3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</row>
    <row r="418" spans="1:34" ht="18" customHeight="1" x14ac:dyDescent="0.25">
      <c r="A418" s="1"/>
      <c r="B418" s="1"/>
      <c r="C418" s="2"/>
      <c r="D418" s="143"/>
      <c r="E418" s="1"/>
      <c r="F418" s="1"/>
      <c r="G418" s="1"/>
      <c r="H418" s="1"/>
      <c r="I418" s="1"/>
      <c r="J418" s="1"/>
      <c r="K418" s="1"/>
      <c r="L418" s="1"/>
      <c r="M418" s="3"/>
      <c r="N418" s="3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</row>
    <row r="419" spans="1:34" ht="18" customHeight="1" x14ac:dyDescent="0.25">
      <c r="A419" s="1"/>
      <c r="B419" s="1"/>
      <c r="C419" s="2"/>
      <c r="D419" s="143"/>
      <c r="E419" s="1"/>
      <c r="F419" s="1"/>
      <c r="G419" s="1"/>
      <c r="H419" s="1"/>
      <c r="I419" s="1"/>
      <c r="J419" s="1"/>
      <c r="K419" s="1"/>
      <c r="L419" s="1"/>
      <c r="M419" s="3"/>
      <c r="N419" s="3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</row>
    <row r="420" spans="1:34" ht="18" customHeight="1" x14ac:dyDescent="0.25">
      <c r="A420" s="1"/>
      <c r="B420" s="1"/>
      <c r="C420" s="2"/>
      <c r="D420" s="143"/>
      <c r="E420" s="1"/>
      <c r="F420" s="1"/>
      <c r="G420" s="1"/>
      <c r="H420" s="1"/>
      <c r="I420" s="1"/>
      <c r="J420" s="1"/>
      <c r="K420" s="1"/>
      <c r="L420" s="1"/>
      <c r="M420" s="3"/>
      <c r="N420" s="3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</row>
    <row r="421" spans="1:34" ht="18" customHeight="1" x14ac:dyDescent="0.25">
      <c r="A421" s="1"/>
      <c r="B421" s="1"/>
      <c r="C421" s="2"/>
      <c r="D421" s="143"/>
      <c r="E421" s="1"/>
      <c r="F421" s="1"/>
      <c r="G421" s="1"/>
      <c r="H421" s="1"/>
      <c r="I421" s="1"/>
      <c r="J421" s="1"/>
      <c r="K421" s="1"/>
      <c r="L421" s="1"/>
      <c r="M421" s="3"/>
      <c r="N421" s="3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</row>
    <row r="422" spans="1:34" ht="18" customHeight="1" x14ac:dyDescent="0.25">
      <c r="A422" s="1"/>
      <c r="B422" s="1"/>
      <c r="C422" s="2"/>
      <c r="D422" s="143"/>
      <c r="E422" s="1"/>
      <c r="F422" s="1"/>
      <c r="G422" s="1"/>
      <c r="H422" s="1"/>
      <c r="I422" s="1"/>
      <c r="J422" s="1"/>
      <c r="K422" s="1"/>
      <c r="L422" s="1"/>
      <c r="M422" s="3"/>
      <c r="N422" s="3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</row>
    <row r="423" spans="1:34" ht="18" customHeight="1" x14ac:dyDescent="0.25">
      <c r="A423" s="1"/>
      <c r="B423" s="1"/>
      <c r="C423" s="2"/>
      <c r="D423" s="143"/>
      <c r="E423" s="1"/>
      <c r="F423" s="1"/>
      <c r="G423" s="1"/>
      <c r="H423" s="1"/>
      <c r="I423" s="1"/>
      <c r="J423" s="1"/>
      <c r="K423" s="1"/>
      <c r="L423" s="1"/>
      <c r="M423" s="3"/>
      <c r="N423" s="3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</row>
    <row r="424" spans="1:34" ht="18" customHeight="1" x14ac:dyDescent="0.25">
      <c r="A424" s="1"/>
      <c r="B424" s="1"/>
      <c r="C424" s="2"/>
      <c r="D424" s="143"/>
      <c r="E424" s="1"/>
      <c r="F424" s="1"/>
      <c r="G424" s="1"/>
      <c r="H424" s="1"/>
      <c r="I424" s="1"/>
      <c r="J424" s="1"/>
      <c r="K424" s="1"/>
      <c r="L424" s="1"/>
      <c r="M424" s="3"/>
      <c r="N424" s="3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</row>
    <row r="425" spans="1:34" ht="18" customHeight="1" x14ac:dyDescent="0.25">
      <c r="A425" s="1"/>
      <c r="B425" s="1"/>
      <c r="C425" s="2"/>
      <c r="D425" s="143"/>
      <c r="E425" s="1"/>
      <c r="F425" s="1"/>
      <c r="G425" s="1"/>
      <c r="H425" s="1"/>
      <c r="I425" s="1"/>
      <c r="J425" s="1"/>
      <c r="K425" s="1"/>
      <c r="L425" s="1"/>
      <c r="M425" s="3"/>
      <c r="N425" s="3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</row>
    <row r="426" spans="1:34" ht="18" customHeight="1" x14ac:dyDescent="0.25">
      <c r="A426" s="1"/>
      <c r="B426" s="1"/>
      <c r="C426" s="2"/>
      <c r="D426" s="143"/>
      <c r="E426" s="1"/>
      <c r="F426" s="1"/>
      <c r="G426" s="1"/>
      <c r="H426" s="1"/>
      <c r="I426" s="1"/>
      <c r="J426" s="1"/>
      <c r="K426" s="1"/>
      <c r="L426" s="1"/>
      <c r="M426" s="3"/>
      <c r="N426" s="3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</row>
    <row r="427" spans="1:34" ht="18" customHeight="1" x14ac:dyDescent="0.25">
      <c r="A427" s="1"/>
      <c r="B427" s="1"/>
      <c r="C427" s="2"/>
      <c r="D427" s="143"/>
      <c r="E427" s="1"/>
      <c r="F427" s="1"/>
      <c r="G427" s="1"/>
      <c r="H427" s="1"/>
      <c r="I427" s="1"/>
      <c r="J427" s="1"/>
      <c r="K427" s="1"/>
      <c r="L427" s="1"/>
      <c r="M427" s="3"/>
      <c r="N427" s="3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</row>
    <row r="428" spans="1:34" ht="18" customHeight="1" x14ac:dyDescent="0.25">
      <c r="A428" s="1"/>
      <c r="B428" s="1"/>
      <c r="C428" s="2"/>
      <c r="D428" s="143"/>
      <c r="E428" s="1"/>
      <c r="F428" s="1"/>
      <c r="G428" s="1"/>
      <c r="H428" s="1"/>
      <c r="I428" s="1"/>
      <c r="J428" s="1"/>
      <c r="K428" s="1"/>
      <c r="L428" s="1"/>
      <c r="M428" s="3"/>
      <c r="N428" s="3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</row>
    <row r="429" spans="1:34" ht="18" customHeight="1" x14ac:dyDescent="0.25">
      <c r="A429" s="1"/>
      <c r="B429" s="1"/>
      <c r="C429" s="2"/>
      <c r="D429" s="143"/>
      <c r="E429" s="1"/>
      <c r="F429" s="1"/>
      <c r="G429" s="1"/>
      <c r="H429" s="1"/>
      <c r="I429" s="1"/>
      <c r="J429" s="1"/>
      <c r="K429" s="1"/>
      <c r="L429" s="1"/>
      <c r="M429" s="3"/>
      <c r="N429" s="3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</row>
    <row r="430" spans="1:34" ht="18" customHeight="1" x14ac:dyDescent="0.25">
      <c r="A430" s="1"/>
      <c r="B430" s="1"/>
      <c r="C430" s="2"/>
      <c r="D430" s="143"/>
      <c r="E430" s="1"/>
      <c r="F430" s="1"/>
      <c r="G430" s="1"/>
      <c r="H430" s="1"/>
      <c r="I430" s="1"/>
      <c r="J430" s="1"/>
      <c r="K430" s="1"/>
      <c r="L430" s="1"/>
      <c r="M430" s="3"/>
      <c r="N430" s="3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</row>
    <row r="431" spans="1:34" ht="18" customHeight="1" x14ac:dyDescent="0.25">
      <c r="A431" s="1"/>
      <c r="B431" s="1"/>
      <c r="C431" s="2"/>
      <c r="D431" s="143"/>
      <c r="E431" s="1"/>
      <c r="F431" s="1"/>
      <c r="G431" s="1"/>
      <c r="H431" s="1"/>
      <c r="I431" s="1"/>
      <c r="J431" s="1"/>
      <c r="K431" s="1"/>
      <c r="L431" s="1"/>
      <c r="M431" s="3"/>
      <c r="N431" s="3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</row>
    <row r="432" spans="1:34" ht="18" customHeight="1" x14ac:dyDescent="0.25">
      <c r="A432" s="1"/>
      <c r="B432" s="1"/>
      <c r="C432" s="2"/>
      <c r="D432" s="143"/>
      <c r="E432" s="1"/>
      <c r="F432" s="1"/>
      <c r="G432" s="1"/>
      <c r="H432" s="1"/>
      <c r="I432" s="1"/>
      <c r="J432" s="1"/>
      <c r="K432" s="1"/>
      <c r="L432" s="1"/>
      <c r="M432" s="3"/>
      <c r="N432" s="3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</row>
    <row r="433" spans="1:34" ht="18" customHeight="1" x14ac:dyDescent="0.25">
      <c r="A433" s="1"/>
      <c r="B433" s="1"/>
      <c r="C433" s="2"/>
      <c r="D433" s="143"/>
      <c r="E433" s="1"/>
      <c r="F433" s="1"/>
      <c r="G433" s="1"/>
      <c r="H433" s="1"/>
      <c r="I433" s="1"/>
      <c r="J433" s="1"/>
      <c r="K433" s="1"/>
      <c r="L433" s="1"/>
      <c r="M433" s="3"/>
      <c r="N433" s="3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</row>
    <row r="434" spans="1:34" ht="18" customHeight="1" x14ac:dyDescent="0.25">
      <c r="A434" s="1"/>
      <c r="B434" s="1"/>
      <c r="C434" s="2"/>
      <c r="D434" s="143"/>
      <c r="E434" s="1"/>
      <c r="F434" s="1"/>
      <c r="G434" s="1"/>
      <c r="H434" s="1"/>
      <c r="I434" s="1"/>
      <c r="J434" s="1"/>
      <c r="K434" s="1"/>
      <c r="L434" s="1"/>
      <c r="M434" s="3"/>
      <c r="N434" s="3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</row>
    <row r="435" spans="1:34" ht="18" customHeight="1" x14ac:dyDescent="0.25">
      <c r="A435" s="1"/>
      <c r="B435" s="1"/>
      <c r="C435" s="2"/>
      <c r="D435" s="143"/>
      <c r="E435" s="1"/>
      <c r="F435" s="1"/>
      <c r="G435" s="1"/>
      <c r="H435" s="1"/>
      <c r="I435" s="1"/>
      <c r="J435" s="1"/>
      <c r="K435" s="1"/>
      <c r="L435" s="1"/>
      <c r="M435" s="3"/>
      <c r="N435" s="3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</row>
    <row r="436" spans="1:34" ht="18" customHeight="1" x14ac:dyDescent="0.25">
      <c r="A436" s="1"/>
      <c r="B436" s="1"/>
      <c r="C436" s="2"/>
      <c r="D436" s="143"/>
      <c r="E436" s="1"/>
      <c r="F436" s="1"/>
      <c r="G436" s="1"/>
      <c r="H436" s="1"/>
      <c r="I436" s="1"/>
      <c r="J436" s="1"/>
      <c r="K436" s="1"/>
      <c r="L436" s="1"/>
      <c r="M436" s="3"/>
      <c r="N436" s="3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</row>
    <row r="437" spans="1:34" ht="18" customHeight="1" x14ac:dyDescent="0.25">
      <c r="A437" s="1"/>
      <c r="B437" s="1"/>
      <c r="C437" s="2"/>
      <c r="D437" s="143"/>
      <c r="E437" s="1"/>
      <c r="F437" s="1"/>
      <c r="G437" s="1"/>
      <c r="H437" s="1"/>
      <c r="I437" s="1"/>
      <c r="J437" s="1"/>
      <c r="K437" s="1"/>
      <c r="L437" s="1"/>
      <c r="M437" s="3"/>
      <c r="N437" s="3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</row>
    <row r="438" spans="1:34" ht="18" customHeight="1" x14ac:dyDescent="0.25">
      <c r="A438" s="1"/>
      <c r="B438" s="1"/>
      <c r="C438" s="2"/>
      <c r="D438" s="143"/>
      <c r="E438" s="1"/>
      <c r="F438" s="1"/>
      <c r="G438" s="1"/>
      <c r="H438" s="1"/>
      <c r="I438" s="1"/>
      <c r="J438" s="1"/>
      <c r="K438" s="1"/>
      <c r="L438" s="1"/>
      <c r="M438" s="3"/>
      <c r="N438" s="3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</row>
    <row r="439" spans="1:34" ht="18" customHeight="1" x14ac:dyDescent="0.25">
      <c r="A439" s="1"/>
      <c r="B439" s="1"/>
      <c r="C439" s="2"/>
      <c r="D439" s="143"/>
      <c r="E439" s="1"/>
      <c r="F439" s="1"/>
      <c r="G439" s="1"/>
      <c r="H439" s="1"/>
      <c r="I439" s="1"/>
      <c r="J439" s="1"/>
      <c r="K439" s="1"/>
      <c r="L439" s="1"/>
      <c r="M439" s="3"/>
      <c r="N439" s="3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</row>
    <row r="440" spans="1:34" ht="18" customHeight="1" x14ac:dyDescent="0.25">
      <c r="A440" s="1"/>
      <c r="B440" s="1"/>
      <c r="C440" s="2"/>
      <c r="D440" s="143"/>
      <c r="E440" s="1"/>
      <c r="F440" s="1"/>
      <c r="G440" s="1"/>
      <c r="H440" s="1"/>
      <c r="I440" s="1"/>
      <c r="J440" s="1"/>
      <c r="K440" s="1"/>
      <c r="L440" s="1"/>
      <c r="M440" s="3"/>
      <c r="N440" s="3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</row>
    <row r="441" spans="1:34" ht="18" customHeight="1" x14ac:dyDescent="0.25">
      <c r="A441" s="1"/>
      <c r="B441" s="1"/>
      <c r="C441" s="2"/>
      <c r="D441" s="143"/>
      <c r="E441" s="1"/>
      <c r="F441" s="1"/>
      <c r="G441" s="1"/>
      <c r="H441" s="1"/>
      <c r="I441" s="1"/>
      <c r="J441" s="1"/>
      <c r="K441" s="1"/>
      <c r="L441" s="1"/>
      <c r="M441" s="3"/>
      <c r="N441" s="3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</row>
    <row r="442" spans="1:34" ht="18" customHeight="1" x14ac:dyDescent="0.25">
      <c r="A442" s="1"/>
      <c r="B442" s="1"/>
      <c r="C442" s="2"/>
      <c r="D442" s="143"/>
      <c r="E442" s="1"/>
      <c r="F442" s="1"/>
      <c r="G442" s="1"/>
      <c r="H442" s="1"/>
      <c r="I442" s="1"/>
      <c r="J442" s="1"/>
      <c r="K442" s="1"/>
      <c r="L442" s="1"/>
      <c r="M442" s="3"/>
      <c r="N442" s="3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</row>
    <row r="443" spans="1:34" ht="18" customHeight="1" x14ac:dyDescent="0.25">
      <c r="A443" s="1"/>
      <c r="B443" s="1"/>
      <c r="C443" s="2"/>
      <c r="D443" s="143"/>
      <c r="E443" s="1"/>
      <c r="F443" s="1"/>
      <c r="G443" s="1"/>
      <c r="H443" s="1"/>
      <c r="I443" s="1"/>
      <c r="J443" s="1"/>
      <c r="K443" s="1"/>
      <c r="L443" s="1"/>
      <c r="M443" s="3"/>
      <c r="N443" s="3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</row>
    <row r="444" spans="1:34" ht="18" customHeight="1" x14ac:dyDescent="0.25">
      <c r="A444" s="1"/>
      <c r="B444" s="1"/>
      <c r="C444" s="2"/>
      <c r="D444" s="143"/>
      <c r="E444" s="1"/>
      <c r="F444" s="1"/>
      <c r="G444" s="1"/>
      <c r="H444" s="1"/>
      <c r="I444" s="1"/>
      <c r="J444" s="1"/>
      <c r="K444" s="1"/>
      <c r="L444" s="1"/>
      <c r="M444" s="3"/>
      <c r="N444" s="3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</row>
    <row r="445" spans="1:34" ht="18" customHeight="1" x14ac:dyDescent="0.25">
      <c r="A445" s="1"/>
      <c r="B445" s="1"/>
      <c r="C445" s="2"/>
      <c r="D445" s="143"/>
      <c r="E445" s="1"/>
      <c r="F445" s="1"/>
      <c r="G445" s="1"/>
      <c r="H445" s="1"/>
      <c r="I445" s="1"/>
      <c r="J445" s="1"/>
      <c r="K445" s="1"/>
      <c r="L445" s="1"/>
      <c r="M445" s="3"/>
      <c r="N445" s="3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</row>
    <row r="446" spans="1:34" ht="18" customHeight="1" x14ac:dyDescent="0.25">
      <c r="A446" s="1"/>
      <c r="B446" s="1"/>
      <c r="C446" s="2"/>
      <c r="D446" s="143"/>
      <c r="E446" s="1"/>
      <c r="F446" s="1"/>
      <c r="G446" s="1"/>
      <c r="H446" s="1"/>
      <c r="I446" s="1"/>
      <c r="J446" s="1"/>
      <c r="K446" s="1"/>
      <c r="L446" s="1"/>
      <c r="M446" s="3"/>
      <c r="N446" s="3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</row>
    <row r="447" spans="1:34" ht="18" customHeight="1" x14ac:dyDescent="0.25">
      <c r="A447" s="1"/>
      <c r="B447" s="1"/>
      <c r="C447" s="2"/>
      <c r="D447" s="143"/>
      <c r="E447" s="1"/>
      <c r="F447" s="1"/>
      <c r="G447" s="1"/>
      <c r="H447" s="1"/>
      <c r="I447" s="1"/>
      <c r="J447" s="1"/>
      <c r="K447" s="1"/>
      <c r="L447" s="1"/>
      <c r="M447" s="3"/>
      <c r="N447" s="3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</row>
    <row r="448" spans="1:34" ht="18" customHeight="1" x14ac:dyDescent="0.25">
      <c r="A448" s="1"/>
      <c r="B448" s="1"/>
      <c r="C448" s="2"/>
      <c r="D448" s="143"/>
      <c r="E448" s="1"/>
      <c r="F448" s="1"/>
      <c r="G448" s="1"/>
      <c r="H448" s="1"/>
      <c r="I448" s="1"/>
      <c r="J448" s="1"/>
      <c r="K448" s="1"/>
      <c r="L448" s="1"/>
      <c r="M448" s="3"/>
      <c r="N448" s="3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</row>
    <row r="449" spans="1:34" ht="18" customHeight="1" x14ac:dyDescent="0.25">
      <c r="A449" s="1"/>
      <c r="B449" s="1"/>
      <c r="C449" s="2"/>
      <c r="D449" s="143"/>
      <c r="E449" s="1"/>
      <c r="F449" s="1"/>
      <c r="G449" s="1"/>
      <c r="H449" s="1"/>
      <c r="I449" s="1"/>
      <c r="J449" s="1"/>
      <c r="K449" s="1"/>
      <c r="L449" s="1"/>
      <c r="M449" s="3"/>
      <c r="N449" s="3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</row>
    <row r="450" spans="1:34" ht="18" customHeight="1" x14ac:dyDescent="0.25">
      <c r="A450" s="1"/>
      <c r="B450" s="1"/>
      <c r="C450" s="2"/>
      <c r="D450" s="143"/>
      <c r="E450" s="1"/>
      <c r="F450" s="1"/>
      <c r="G450" s="1"/>
      <c r="H450" s="1"/>
      <c r="I450" s="1"/>
      <c r="J450" s="1"/>
      <c r="K450" s="1"/>
      <c r="L450" s="1"/>
      <c r="M450" s="3"/>
      <c r="N450" s="3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</row>
    <row r="451" spans="1:34" ht="18" customHeight="1" x14ac:dyDescent="0.25">
      <c r="A451" s="1"/>
      <c r="B451" s="1"/>
      <c r="C451" s="2"/>
      <c r="D451" s="143"/>
      <c r="E451" s="1"/>
      <c r="F451" s="1"/>
      <c r="G451" s="1"/>
      <c r="H451" s="1"/>
      <c r="I451" s="1"/>
      <c r="J451" s="1"/>
      <c r="K451" s="1"/>
      <c r="L451" s="1"/>
      <c r="M451" s="3"/>
      <c r="N451" s="3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</row>
    <row r="452" spans="1:34" ht="18" customHeight="1" x14ac:dyDescent="0.25">
      <c r="A452" s="1"/>
      <c r="B452" s="1"/>
      <c r="C452" s="2"/>
      <c r="D452" s="143"/>
      <c r="E452" s="1"/>
      <c r="F452" s="1"/>
      <c r="G452" s="1"/>
      <c r="H452" s="1"/>
      <c r="I452" s="1"/>
      <c r="J452" s="1"/>
      <c r="K452" s="1"/>
      <c r="L452" s="1"/>
      <c r="M452" s="3"/>
      <c r="N452" s="3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</row>
    <row r="453" spans="1:34" ht="18" customHeight="1" x14ac:dyDescent="0.25">
      <c r="A453" s="1"/>
      <c r="B453" s="1"/>
      <c r="C453" s="2"/>
      <c r="D453" s="143"/>
      <c r="E453" s="1"/>
      <c r="F453" s="1"/>
      <c r="G453" s="1"/>
      <c r="H453" s="1"/>
      <c r="I453" s="1"/>
      <c r="J453" s="1"/>
      <c r="K453" s="1"/>
      <c r="L453" s="1"/>
      <c r="M453" s="3"/>
      <c r="N453" s="3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</row>
    <row r="454" spans="1:34" ht="18" customHeight="1" x14ac:dyDescent="0.25">
      <c r="A454" s="1"/>
      <c r="B454" s="1"/>
      <c r="C454" s="2"/>
      <c r="D454" s="143"/>
      <c r="E454" s="1"/>
      <c r="F454" s="1"/>
      <c r="G454" s="1"/>
      <c r="H454" s="1"/>
      <c r="I454" s="1"/>
      <c r="J454" s="1"/>
      <c r="K454" s="1"/>
      <c r="L454" s="1"/>
      <c r="M454" s="3"/>
      <c r="N454" s="3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</row>
    <row r="455" spans="1:34" ht="18" customHeight="1" x14ac:dyDescent="0.25">
      <c r="A455" s="1"/>
      <c r="B455" s="1"/>
      <c r="C455" s="2"/>
      <c r="D455" s="143"/>
      <c r="E455" s="1"/>
      <c r="F455" s="1"/>
      <c r="G455" s="1"/>
      <c r="H455" s="1"/>
      <c r="I455" s="1"/>
      <c r="J455" s="1"/>
      <c r="K455" s="1"/>
      <c r="L455" s="1"/>
      <c r="M455" s="3"/>
      <c r="N455" s="3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</row>
    <row r="456" spans="1:34" ht="18" customHeight="1" x14ac:dyDescent="0.25">
      <c r="A456" s="1"/>
      <c r="B456" s="1"/>
      <c r="C456" s="2"/>
      <c r="D456" s="143"/>
      <c r="E456" s="1"/>
      <c r="F456" s="1"/>
      <c r="G456" s="1"/>
      <c r="H456" s="1"/>
      <c r="I456" s="1"/>
      <c r="J456" s="1"/>
      <c r="K456" s="1"/>
      <c r="L456" s="1"/>
      <c r="M456" s="3"/>
      <c r="N456" s="3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</row>
    <row r="457" spans="1:34" ht="18" customHeight="1" x14ac:dyDescent="0.25">
      <c r="A457" s="1"/>
      <c r="B457" s="1"/>
      <c r="C457" s="2"/>
      <c r="D457" s="143"/>
      <c r="E457" s="1"/>
      <c r="F457" s="1"/>
      <c r="G457" s="1"/>
      <c r="H457" s="1"/>
      <c r="I457" s="1"/>
      <c r="J457" s="1"/>
      <c r="K457" s="1"/>
      <c r="L457" s="1"/>
      <c r="M457" s="3"/>
      <c r="N457" s="3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</row>
    <row r="458" spans="1:34" ht="18" customHeight="1" x14ac:dyDescent="0.25">
      <c r="A458" s="1"/>
      <c r="B458" s="1"/>
      <c r="C458" s="2"/>
      <c r="D458" s="143"/>
      <c r="E458" s="1"/>
      <c r="F458" s="1"/>
      <c r="G458" s="1"/>
      <c r="H458" s="1"/>
      <c r="I458" s="1"/>
      <c r="J458" s="1"/>
      <c r="K458" s="1"/>
      <c r="L458" s="1"/>
      <c r="M458" s="3"/>
      <c r="N458" s="3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</row>
    <row r="459" spans="1:34" ht="18" customHeight="1" x14ac:dyDescent="0.25">
      <c r="A459" s="1"/>
      <c r="B459" s="1"/>
      <c r="C459" s="2"/>
      <c r="D459" s="143"/>
      <c r="E459" s="1"/>
      <c r="F459" s="1"/>
      <c r="G459" s="1"/>
      <c r="H459" s="1"/>
      <c r="I459" s="1"/>
      <c r="J459" s="1"/>
      <c r="K459" s="1"/>
      <c r="L459" s="1"/>
      <c r="M459" s="3"/>
      <c r="N459" s="3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</row>
    <row r="460" spans="1:34" ht="18" customHeight="1" x14ac:dyDescent="0.25">
      <c r="A460" s="1"/>
      <c r="B460" s="1"/>
      <c r="C460" s="2"/>
      <c r="D460" s="143"/>
      <c r="E460" s="1"/>
      <c r="F460" s="1"/>
      <c r="G460" s="1"/>
      <c r="H460" s="1"/>
      <c r="I460" s="1"/>
      <c r="J460" s="1"/>
      <c r="K460" s="1"/>
      <c r="L460" s="1"/>
      <c r="M460" s="3"/>
      <c r="N460" s="3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</row>
    <row r="461" spans="1:34" ht="18" customHeight="1" x14ac:dyDescent="0.25">
      <c r="A461" s="1"/>
      <c r="B461" s="1"/>
      <c r="C461" s="2"/>
      <c r="D461" s="143"/>
      <c r="E461" s="1"/>
      <c r="F461" s="1"/>
      <c r="G461" s="1"/>
      <c r="H461" s="1"/>
      <c r="I461" s="1"/>
      <c r="J461" s="1"/>
      <c r="K461" s="1"/>
      <c r="L461" s="1"/>
      <c r="M461" s="3"/>
      <c r="N461" s="3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</row>
    <row r="462" spans="1:34" ht="18" customHeight="1" x14ac:dyDescent="0.25">
      <c r="A462" s="1"/>
      <c r="B462" s="1"/>
      <c r="C462" s="2"/>
      <c r="D462" s="143"/>
      <c r="E462" s="1"/>
      <c r="F462" s="1"/>
      <c r="G462" s="1"/>
      <c r="H462" s="1"/>
      <c r="I462" s="1"/>
      <c r="J462" s="1"/>
      <c r="K462" s="1"/>
      <c r="L462" s="1"/>
      <c r="M462" s="3"/>
      <c r="N462" s="3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</row>
    <row r="463" spans="1:34" ht="18" customHeight="1" x14ac:dyDescent="0.25">
      <c r="A463" s="1"/>
      <c r="B463" s="1"/>
      <c r="C463" s="2"/>
      <c r="D463" s="143"/>
      <c r="E463" s="1"/>
      <c r="F463" s="1"/>
      <c r="G463" s="1"/>
      <c r="H463" s="1"/>
      <c r="I463" s="1"/>
      <c r="J463" s="1"/>
      <c r="K463" s="1"/>
      <c r="L463" s="1"/>
      <c r="M463" s="3"/>
      <c r="N463" s="3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</row>
    <row r="464" spans="1:34" ht="18" customHeight="1" x14ac:dyDescent="0.25">
      <c r="A464" s="1"/>
      <c r="B464" s="1"/>
      <c r="C464" s="2"/>
      <c r="D464" s="143"/>
      <c r="E464" s="1"/>
      <c r="F464" s="1"/>
      <c r="G464" s="1"/>
      <c r="H464" s="1"/>
      <c r="I464" s="1"/>
      <c r="J464" s="1"/>
      <c r="K464" s="1"/>
      <c r="L464" s="1"/>
      <c r="M464" s="3"/>
      <c r="N464" s="3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</row>
    <row r="465" spans="1:34" ht="18" customHeight="1" x14ac:dyDescent="0.25">
      <c r="A465" s="1"/>
      <c r="B465" s="1"/>
      <c r="C465" s="2"/>
      <c r="D465" s="143"/>
      <c r="E465" s="1"/>
      <c r="F465" s="1"/>
      <c r="G465" s="1"/>
      <c r="H465" s="1"/>
      <c r="I465" s="1"/>
      <c r="J465" s="1"/>
      <c r="K465" s="1"/>
      <c r="L465" s="1"/>
      <c r="M465" s="3"/>
      <c r="N465" s="3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</row>
    <row r="466" spans="1:34" ht="18" customHeight="1" x14ac:dyDescent="0.25">
      <c r="A466" s="1"/>
      <c r="B466" s="1"/>
      <c r="C466" s="2"/>
      <c r="D466" s="143"/>
      <c r="E466" s="1"/>
      <c r="F466" s="1"/>
      <c r="G466" s="1"/>
      <c r="H466" s="1"/>
      <c r="I466" s="1"/>
      <c r="J466" s="1"/>
      <c r="K466" s="1"/>
      <c r="L466" s="1"/>
      <c r="M466" s="3"/>
      <c r="N466" s="3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</row>
    <row r="467" spans="1:34" ht="18" customHeight="1" x14ac:dyDescent="0.25">
      <c r="A467" s="1"/>
      <c r="B467" s="1"/>
      <c r="C467" s="2"/>
      <c r="D467" s="143"/>
      <c r="E467" s="1"/>
      <c r="F467" s="1"/>
      <c r="G467" s="1"/>
      <c r="H467" s="1"/>
      <c r="I467" s="1"/>
      <c r="J467" s="1"/>
      <c r="K467" s="1"/>
      <c r="L467" s="1"/>
      <c r="M467" s="3"/>
      <c r="N467" s="3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</row>
    <row r="468" spans="1:34" ht="18" customHeight="1" x14ac:dyDescent="0.25">
      <c r="A468" s="1"/>
      <c r="B468" s="1"/>
      <c r="C468" s="2"/>
      <c r="D468" s="143"/>
      <c r="E468" s="1"/>
      <c r="F468" s="1"/>
      <c r="G468" s="1"/>
      <c r="H468" s="1"/>
      <c r="I468" s="1"/>
      <c r="J468" s="1"/>
      <c r="K468" s="1"/>
      <c r="L468" s="1"/>
      <c r="M468" s="3"/>
      <c r="N468" s="3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</row>
    <row r="469" spans="1:34" ht="18" customHeight="1" x14ac:dyDescent="0.25">
      <c r="A469" s="1"/>
      <c r="B469" s="1"/>
      <c r="C469" s="2"/>
      <c r="D469" s="143"/>
      <c r="E469" s="1"/>
      <c r="F469" s="1"/>
      <c r="G469" s="1"/>
      <c r="H469" s="1"/>
      <c r="I469" s="1"/>
      <c r="J469" s="1"/>
      <c r="K469" s="1"/>
      <c r="L469" s="1"/>
      <c r="M469" s="3"/>
      <c r="N469" s="3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</row>
    <row r="470" spans="1:34" ht="18" customHeight="1" x14ac:dyDescent="0.25">
      <c r="A470" s="1"/>
      <c r="B470" s="1"/>
      <c r="C470" s="2"/>
      <c r="D470" s="143"/>
      <c r="E470" s="1"/>
      <c r="F470" s="1"/>
      <c r="G470" s="1"/>
      <c r="H470" s="1"/>
      <c r="I470" s="1"/>
      <c r="J470" s="1"/>
      <c r="K470" s="1"/>
      <c r="L470" s="1"/>
      <c r="M470" s="3"/>
      <c r="N470" s="3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</row>
    <row r="471" spans="1:34" ht="18" customHeight="1" x14ac:dyDescent="0.25">
      <c r="A471" s="1"/>
      <c r="B471" s="1"/>
      <c r="C471" s="2"/>
      <c r="D471" s="143"/>
      <c r="E471" s="1"/>
      <c r="F471" s="1"/>
      <c r="G471" s="1"/>
      <c r="H471" s="1"/>
      <c r="I471" s="1"/>
      <c r="J471" s="1"/>
      <c r="K471" s="1"/>
      <c r="L471" s="1"/>
      <c r="M471" s="3"/>
      <c r="N471" s="3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</row>
    <row r="472" spans="1:34" ht="18" customHeight="1" x14ac:dyDescent="0.25">
      <c r="A472" s="1"/>
      <c r="B472" s="1"/>
      <c r="C472" s="2"/>
      <c r="D472" s="143"/>
      <c r="E472" s="1"/>
      <c r="F472" s="1"/>
      <c r="G472" s="1"/>
      <c r="H472" s="1"/>
      <c r="I472" s="1"/>
      <c r="J472" s="1"/>
      <c r="K472" s="1"/>
      <c r="L472" s="1"/>
      <c r="M472" s="3"/>
      <c r="N472" s="3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</row>
    <row r="473" spans="1:34" ht="18" customHeight="1" x14ac:dyDescent="0.25">
      <c r="A473" s="1"/>
      <c r="B473" s="1"/>
      <c r="C473" s="2"/>
      <c r="D473" s="143"/>
      <c r="E473" s="1"/>
      <c r="F473" s="1"/>
      <c r="G473" s="1"/>
      <c r="H473" s="1"/>
      <c r="I473" s="1"/>
      <c r="J473" s="1"/>
      <c r="K473" s="1"/>
      <c r="L473" s="1"/>
      <c r="M473" s="3"/>
      <c r="N473" s="3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</row>
    <row r="474" spans="1:34" ht="18" customHeight="1" x14ac:dyDescent="0.25">
      <c r="A474" s="1"/>
      <c r="B474" s="1"/>
      <c r="C474" s="2"/>
      <c r="D474" s="143"/>
      <c r="E474" s="1"/>
      <c r="F474" s="1"/>
      <c r="G474" s="1"/>
      <c r="H474" s="1"/>
      <c r="I474" s="1"/>
      <c r="J474" s="1"/>
      <c r="K474" s="1"/>
      <c r="L474" s="1"/>
      <c r="M474" s="3"/>
      <c r="N474" s="3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</row>
    <row r="475" spans="1:34" ht="18" customHeight="1" x14ac:dyDescent="0.25">
      <c r="A475" s="1"/>
      <c r="B475" s="1"/>
      <c r="C475" s="2"/>
      <c r="D475" s="143"/>
      <c r="E475" s="1"/>
      <c r="F475" s="1"/>
      <c r="G475" s="1"/>
      <c r="H475" s="1"/>
      <c r="I475" s="1"/>
      <c r="J475" s="1"/>
      <c r="K475" s="1"/>
      <c r="L475" s="1"/>
      <c r="M475" s="3"/>
      <c r="N475" s="3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</row>
    <row r="476" spans="1:34" ht="18" customHeight="1" x14ac:dyDescent="0.25">
      <c r="A476" s="1"/>
      <c r="B476" s="1"/>
      <c r="C476" s="2"/>
      <c r="D476" s="143"/>
      <c r="E476" s="1"/>
      <c r="F476" s="1"/>
      <c r="G476" s="1"/>
      <c r="H476" s="1"/>
      <c r="I476" s="1"/>
      <c r="J476" s="1"/>
      <c r="K476" s="1"/>
      <c r="L476" s="1"/>
      <c r="M476" s="3"/>
      <c r="N476" s="3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</row>
    <row r="477" spans="1:34" ht="18" customHeight="1" x14ac:dyDescent="0.25">
      <c r="A477" s="1"/>
      <c r="B477" s="1"/>
      <c r="C477" s="2"/>
      <c r="D477" s="143"/>
      <c r="E477" s="1"/>
      <c r="F477" s="1"/>
      <c r="G477" s="1"/>
      <c r="H477" s="1"/>
      <c r="I477" s="1"/>
      <c r="J477" s="1"/>
      <c r="K477" s="1"/>
      <c r="L477" s="1"/>
      <c r="M477" s="3"/>
      <c r="N477" s="3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</row>
    <row r="478" spans="1:34" ht="18" customHeight="1" x14ac:dyDescent="0.25">
      <c r="A478" s="1"/>
      <c r="B478" s="1"/>
      <c r="C478" s="2"/>
      <c r="D478" s="143"/>
      <c r="E478" s="1"/>
      <c r="F478" s="1"/>
      <c r="G478" s="1"/>
      <c r="H478" s="1"/>
      <c r="I478" s="1"/>
      <c r="J478" s="1"/>
      <c r="K478" s="1"/>
      <c r="L478" s="1"/>
      <c r="M478" s="3"/>
      <c r="N478" s="3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</row>
    <row r="479" spans="1:34" ht="18" customHeight="1" x14ac:dyDescent="0.25">
      <c r="A479" s="1"/>
      <c r="B479" s="1"/>
      <c r="C479" s="2"/>
      <c r="D479" s="143"/>
      <c r="E479" s="1"/>
      <c r="F479" s="1"/>
      <c r="G479" s="1"/>
      <c r="H479" s="1"/>
      <c r="I479" s="1"/>
      <c r="J479" s="1"/>
      <c r="K479" s="1"/>
      <c r="L479" s="1"/>
      <c r="M479" s="3"/>
      <c r="N479" s="3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</row>
    <row r="480" spans="1:34" ht="18" customHeight="1" x14ac:dyDescent="0.25">
      <c r="A480" s="1"/>
      <c r="B480" s="1"/>
      <c r="C480" s="2"/>
      <c r="D480" s="143"/>
      <c r="E480" s="1"/>
      <c r="F480" s="1"/>
      <c r="G480" s="1"/>
      <c r="H480" s="1"/>
      <c r="I480" s="1"/>
      <c r="J480" s="1"/>
      <c r="K480" s="1"/>
      <c r="L480" s="1"/>
      <c r="M480" s="3"/>
      <c r="N480" s="3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</row>
    <row r="481" spans="1:34" ht="18" customHeight="1" x14ac:dyDescent="0.25">
      <c r="A481" s="1"/>
      <c r="B481" s="1"/>
      <c r="C481" s="2"/>
      <c r="D481" s="143"/>
      <c r="E481" s="1"/>
      <c r="F481" s="1"/>
      <c r="G481" s="1"/>
      <c r="H481" s="1"/>
      <c r="I481" s="1"/>
      <c r="J481" s="1"/>
      <c r="K481" s="1"/>
      <c r="L481" s="1"/>
      <c r="M481" s="3"/>
      <c r="N481" s="3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</row>
    <row r="482" spans="1:34" ht="18" customHeight="1" x14ac:dyDescent="0.25">
      <c r="A482" s="1"/>
      <c r="B482" s="1"/>
      <c r="C482" s="2"/>
      <c r="D482" s="143"/>
      <c r="E482" s="1"/>
      <c r="F482" s="1"/>
      <c r="G482" s="1"/>
      <c r="H482" s="1"/>
      <c r="I482" s="1"/>
      <c r="J482" s="1"/>
      <c r="K482" s="1"/>
      <c r="L482" s="1"/>
      <c r="M482" s="3"/>
      <c r="N482" s="3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</row>
    <row r="483" spans="1:34" ht="18" customHeight="1" x14ac:dyDescent="0.25">
      <c r="A483" s="1"/>
      <c r="B483" s="1"/>
      <c r="C483" s="2"/>
      <c r="D483" s="143"/>
      <c r="E483" s="1"/>
      <c r="F483" s="1"/>
      <c r="G483" s="1"/>
      <c r="H483" s="1"/>
      <c r="I483" s="1"/>
      <c r="J483" s="1"/>
      <c r="K483" s="1"/>
      <c r="L483" s="1"/>
      <c r="M483" s="3"/>
      <c r="N483" s="3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</row>
    <row r="484" spans="1:34" ht="18" customHeight="1" x14ac:dyDescent="0.25">
      <c r="A484" s="1"/>
      <c r="B484" s="1"/>
      <c r="C484" s="2"/>
      <c r="D484" s="143"/>
      <c r="E484" s="1"/>
      <c r="F484" s="1"/>
      <c r="G484" s="1"/>
      <c r="H484" s="1"/>
      <c r="I484" s="1"/>
      <c r="J484" s="1"/>
      <c r="K484" s="1"/>
      <c r="L484" s="1"/>
      <c r="M484" s="3"/>
      <c r="N484" s="3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</row>
    <row r="485" spans="1:34" ht="18" customHeight="1" x14ac:dyDescent="0.25">
      <c r="A485" s="1"/>
      <c r="B485" s="1"/>
      <c r="C485" s="2"/>
      <c r="D485" s="143"/>
      <c r="E485" s="1"/>
      <c r="F485" s="1"/>
      <c r="G485" s="1"/>
      <c r="H485" s="1"/>
      <c r="I485" s="1"/>
      <c r="J485" s="1"/>
      <c r="K485" s="1"/>
      <c r="L485" s="1"/>
      <c r="M485" s="3"/>
      <c r="N485" s="3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</row>
    <row r="486" spans="1:34" ht="18" customHeight="1" x14ac:dyDescent="0.25">
      <c r="A486" s="1"/>
      <c r="B486" s="1"/>
      <c r="C486" s="2"/>
      <c r="D486" s="143"/>
      <c r="E486" s="1"/>
      <c r="F486" s="1"/>
      <c r="G486" s="1"/>
      <c r="H486" s="1"/>
      <c r="I486" s="1"/>
      <c r="J486" s="1"/>
      <c r="K486" s="1"/>
      <c r="L486" s="1"/>
      <c r="M486" s="3"/>
      <c r="N486" s="3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</row>
    <row r="487" spans="1:34" ht="18" customHeight="1" x14ac:dyDescent="0.25">
      <c r="A487" s="1"/>
      <c r="B487" s="1"/>
      <c r="C487" s="2"/>
      <c r="D487" s="143"/>
      <c r="E487" s="1"/>
      <c r="F487" s="1"/>
      <c r="G487" s="1"/>
      <c r="H487" s="1"/>
      <c r="I487" s="1"/>
      <c r="J487" s="1"/>
      <c r="K487" s="1"/>
      <c r="L487" s="1"/>
      <c r="M487" s="3"/>
      <c r="N487" s="3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</row>
    <row r="488" spans="1:34" ht="18" customHeight="1" x14ac:dyDescent="0.25">
      <c r="A488" s="1"/>
      <c r="B488" s="1"/>
      <c r="C488" s="2"/>
      <c r="D488" s="143"/>
      <c r="E488" s="1"/>
      <c r="F488" s="1"/>
      <c r="G488" s="1"/>
      <c r="H488" s="1"/>
      <c r="I488" s="1"/>
      <c r="J488" s="1"/>
      <c r="K488" s="1"/>
      <c r="L488" s="1"/>
      <c r="M488" s="3"/>
      <c r="N488" s="3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</row>
    <row r="489" spans="1:34" ht="18" customHeight="1" x14ac:dyDescent="0.25">
      <c r="A489" s="1"/>
      <c r="B489" s="1"/>
      <c r="C489" s="2"/>
      <c r="D489" s="143"/>
      <c r="E489" s="1"/>
      <c r="F489" s="1"/>
      <c r="G489" s="1"/>
      <c r="H489" s="1"/>
      <c r="I489" s="1"/>
      <c r="J489" s="1"/>
      <c r="K489" s="1"/>
      <c r="L489" s="1"/>
      <c r="M489" s="3"/>
      <c r="N489" s="3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</row>
    <row r="490" spans="1:34" ht="18" customHeight="1" x14ac:dyDescent="0.25">
      <c r="A490" s="1"/>
      <c r="B490" s="1"/>
      <c r="C490" s="2"/>
      <c r="D490" s="143"/>
      <c r="E490" s="1"/>
      <c r="F490" s="1"/>
      <c r="G490" s="1"/>
      <c r="H490" s="1"/>
      <c r="I490" s="1"/>
      <c r="J490" s="1"/>
      <c r="K490" s="1"/>
      <c r="L490" s="1"/>
      <c r="M490" s="3"/>
      <c r="N490" s="3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</row>
    <row r="491" spans="1:34" ht="18" customHeight="1" x14ac:dyDescent="0.25">
      <c r="A491" s="1"/>
      <c r="B491" s="1"/>
      <c r="C491" s="2"/>
      <c r="D491" s="143"/>
      <c r="E491" s="1"/>
      <c r="F491" s="1"/>
      <c r="G491" s="1"/>
      <c r="H491" s="1"/>
      <c r="I491" s="1"/>
      <c r="J491" s="1"/>
      <c r="K491" s="1"/>
      <c r="L491" s="1"/>
      <c r="M491" s="3"/>
      <c r="N491" s="3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</row>
    <row r="492" spans="1:34" ht="18" customHeight="1" x14ac:dyDescent="0.25">
      <c r="A492" s="1"/>
      <c r="B492" s="1"/>
      <c r="C492" s="2"/>
      <c r="D492" s="143"/>
      <c r="E492" s="1"/>
      <c r="F492" s="1"/>
      <c r="G492" s="1"/>
      <c r="H492" s="1"/>
      <c r="I492" s="1"/>
      <c r="J492" s="1"/>
      <c r="K492" s="1"/>
      <c r="L492" s="1"/>
      <c r="M492" s="3"/>
      <c r="N492" s="3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</row>
    <row r="493" spans="1:34" ht="18" customHeight="1" x14ac:dyDescent="0.25">
      <c r="A493" s="1"/>
      <c r="B493" s="1"/>
      <c r="C493" s="2"/>
      <c r="D493" s="143"/>
      <c r="E493" s="1"/>
      <c r="F493" s="1"/>
      <c r="G493" s="1"/>
      <c r="H493" s="1"/>
      <c r="I493" s="1"/>
      <c r="J493" s="1"/>
      <c r="K493" s="1"/>
      <c r="L493" s="1"/>
      <c r="M493" s="3"/>
      <c r="N493" s="3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</row>
    <row r="494" spans="1:34" ht="18" customHeight="1" x14ac:dyDescent="0.25">
      <c r="A494" s="1"/>
      <c r="B494" s="1"/>
      <c r="C494" s="2"/>
      <c r="D494" s="143"/>
      <c r="E494" s="1"/>
      <c r="F494" s="1"/>
      <c r="G494" s="1"/>
      <c r="H494" s="1"/>
      <c r="I494" s="1"/>
      <c r="J494" s="1"/>
      <c r="K494" s="1"/>
      <c r="L494" s="1"/>
      <c r="M494" s="3"/>
      <c r="N494" s="3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</row>
    <row r="495" spans="1:34" ht="18" customHeight="1" x14ac:dyDescent="0.25">
      <c r="A495" s="1"/>
      <c r="B495" s="1"/>
      <c r="C495" s="2"/>
      <c r="D495" s="143"/>
      <c r="E495" s="1"/>
      <c r="F495" s="1"/>
      <c r="G495" s="1"/>
      <c r="H495" s="1"/>
      <c r="I495" s="1"/>
      <c r="J495" s="1"/>
      <c r="K495" s="1"/>
      <c r="L495" s="1"/>
      <c r="M495" s="3"/>
      <c r="N495" s="3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</row>
    <row r="496" spans="1:34" ht="18" customHeight="1" x14ac:dyDescent="0.25">
      <c r="A496" s="1"/>
      <c r="B496" s="1"/>
      <c r="C496" s="2"/>
      <c r="D496" s="143"/>
      <c r="E496" s="1"/>
      <c r="F496" s="1"/>
      <c r="G496" s="1"/>
      <c r="H496" s="1"/>
      <c r="I496" s="1"/>
      <c r="J496" s="1"/>
      <c r="K496" s="1"/>
      <c r="L496" s="1"/>
      <c r="M496" s="3"/>
      <c r="N496" s="3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</row>
    <row r="497" spans="1:34" ht="18" customHeight="1" x14ac:dyDescent="0.25">
      <c r="A497" s="1"/>
      <c r="B497" s="1"/>
      <c r="C497" s="2"/>
      <c r="D497" s="143"/>
      <c r="E497" s="1"/>
      <c r="F497" s="1"/>
      <c r="G497" s="1"/>
      <c r="H497" s="1"/>
      <c r="I497" s="1"/>
      <c r="J497" s="1"/>
      <c r="K497" s="1"/>
      <c r="L497" s="1"/>
      <c r="M497" s="3"/>
      <c r="N497" s="3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</row>
    <row r="498" spans="1:34" ht="18" customHeight="1" x14ac:dyDescent="0.25">
      <c r="A498" s="1"/>
      <c r="B498" s="1"/>
      <c r="C498" s="2"/>
      <c r="D498" s="143"/>
      <c r="E498" s="1"/>
      <c r="F498" s="1"/>
      <c r="G498" s="1"/>
      <c r="H498" s="1"/>
      <c r="I498" s="1"/>
      <c r="J498" s="1"/>
      <c r="K498" s="1"/>
      <c r="L498" s="1"/>
      <c r="M498" s="3"/>
      <c r="N498" s="3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</row>
    <row r="499" spans="1:34" ht="18" customHeight="1" x14ac:dyDescent="0.25">
      <c r="A499" s="1"/>
      <c r="B499" s="1"/>
      <c r="C499" s="2"/>
      <c r="D499" s="143"/>
      <c r="E499" s="1"/>
      <c r="F499" s="1"/>
      <c r="G499" s="1"/>
      <c r="H499" s="1"/>
      <c r="I499" s="1"/>
      <c r="J499" s="1"/>
      <c r="K499" s="1"/>
      <c r="L499" s="1"/>
      <c r="M499" s="3"/>
      <c r="N499" s="3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</row>
    <row r="500" spans="1:34" ht="18" customHeight="1" x14ac:dyDescent="0.25">
      <c r="A500" s="1"/>
      <c r="B500" s="1"/>
      <c r="C500" s="2"/>
      <c r="D500" s="143"/>
      <c r="E500" s="1"/>
      <c r="F500" s="1"/>
      <c r="G500" s="1"/>
      <c r="H500" s="1"/>
      <c r="I500" s="1"/>
      <c r="J500" s="1"/>
      <c r="K500" s="1"/>
      <c r="L500" s="1"/>
      <c r="M500" s="3"/>
      <c r="N500" s="3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</row>
    <row r="501" spans="1:34" ht="18" customHeight="1" x14ac:dyDescent="0.25">
      <c r="A501" s="1"/>
      <c r="B501" s="1"/>
      <c r="C501" s="2"/>
      <c r="D501" s="143"/>
      <c r="E501" s="1"/>
      <c r="F501" s="1"/>
      <c r="G501" s="1"/>
      <c r="H501" s="1"/>
      <c r="I501" s="1"/>
      <c r="J501" s="1"/>
      <c r="K501" s="1"/>
      <c r="L501" s="1"/>
      <c r="M501" s="3"/>
      <c r="N501" s="3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</row>
    <row r="502" spans="1:34" ht="18" customHeight="1" x14ac:dyDescent="0.25">
      <c r="A502" s="1"/>
      <c r="B502" s="1"/>
      <c r="C502" s="2"/>
      <c r="D502" s="143"/>
      <c r="E502" s="1"/>
      <c r="F502" s="1"/>
      <c r="G502" s="1"/>
      <c r="H502" s="1"/>
      <c r="I502" s="1"/>
      <c r="J502" s="1"/>
      <c r="K502" s="1"/>
      <c r="L502" s="1"/>
      <c r="M502" s="3"/>
      <c r="N502" s="3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</row>
    <row r="503" spans="1:34" ht="18" customHeight="1" x14ac:dyDescent="0.25">
      <c r="A503" s="1"/>
      <c r="B503" s="1"/>
      <c r="C503" s="2"/>
      <c r="D503" s="143"/>
      <c r="E503" s="1"/>
      <c r="F503" s="1"/>
      <c r="G503" s="1"/>
      <c r="H503" s="1"/>
      <c r="I503" s="1"/>
      <c r="J503" s="1"/>
      <c r="K503" s="1"/>
      <c r="L503" s="1"/>
      <c r="M503" s="3"/>
      <c r="N503" s="3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</row>
    <row r="504" spans="1:34" ht="18" customHeight="1" x14ac:dyDescent="0.25">
      <c r="A504" s="1"/>
      <c r="B504" s="1"/>
      <c r="C504" s="2"/>
      <c r="D504" s="143"/>
      <c r="E504" s="1"/>
      <c r="F504" s="1"/>
      <c r="G504" s="1"/>
      <c r="H504" s="1"/>
      <c r="I504" s="1"/>
      <c r="J504" s="1"/>
      <c r="K504" s="1"/>
      <c r="L504" s="1"/>
      <c r="M504" s="3"/>
      <c r="N504" s="3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</row>
    <row r="505" spans="1:34" ht="18" customHeight="1" x14ac:dyDescent="0.25">
      <c r="A505" s="1"/>
      <c r="B505" s="1"/>
      <c r="C505" s="2"/>
      <c r="D505" s="143"/>
      <c r="E505" s="1"/>
      <c r="F505" s="1"/>
      <c r="G505" s="1"/>
      <c r="H505" s="1"/>
      <c r="I505" s="1"/>
      <c r="J505" s="1"/>
      <c r="K505" s="1"/>
      <c r="L505" s="1"/>
      <c r="M505" s="3"/>
      <c r="N505" s="3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</row>
    <row r="506" spans="1:34" ht="18" customHeight="1" x14ac:dyDescent="0.25">
      <c r="A506" s="1"/>
      <c r="B506" s="1"/>
      <c r="C506" s="2"/>
      <c r="D506" s="143"/>
      <c r="E506" s="1"/>
      <c r="F506" s="1"/>
      <c r="G506" s="1"/>
      <c r="H506" s="1"/>
      <c r="I506" s="1"/>
      <c r="J506" s="1"/>
      <c r="K506" s="1"/>
      <c r="L506" s="1"/>
      <c r="M506" s="3"/>
      <c r="N506" s="3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</row>
    <row r="507" spans="1:34" ht="18" customHeight="1" x14ac:dyDescent="0.25">
      <c r="A507" s="1"/>
      <c r="B507" s="1"/>
      <c r="C507" s="2"/>
      <c r="D507" s="143"/>
      <c r="E507" s="1"/>
      <c r="F507" s="1"/>
      <c r="G507" s="1"/>
      <c r="H507" s="1"/>
      <c r="I507" s="1"/>
      <c r="J507" s="1"/>
      <c r="K507" s="1"/>
      <c r="L507" s="1"/>
      <c r="M507" s="3"/>
      <c r="N507" s="3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</row>
    <row r="508" spans="1:34" ht="18" customHeight="1" x14ac:dyDescent="0.25">
      <c r="A508" s="1"/>
      <c r="B508" s="1"/>
      <c r="C508" s="2"/>
      <c r="D508" s="143"/>
      <c r="E508" s="1"/>
      <c r="F508" s="1"/>
      <c r="G508" s="1"/>
      <c r="H508" s="1"/>
      <c r="I508" s="1"/>
      <c r="J508" s="1"/>
      <c r="K508" s="1"/>
      <c r="L508" s="1"/>
      <c r="M508" s="3"/>
      <c r="N508" s="3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</row>
    <row r="509" spans="1:34" ht="18" customHeight="1" x14ac:dyDescent="0.25">
      <c r="A509" s="1"/>
      <c r="B509" s="1"/>
      <c r="C509" s="2"/>
      <c r="D509" s="143"/>
      <c r="E509" s="1"/>
      <c r="F509" s="1"/>
      <c r="G509" s="1"/>
      <c r="H509" s="1"/>
      <c r="I509" s="1"/>
      <c r="J509" s="1"/>
      <c r="K509" s="1"/>
      <c r="L509" s="1"/>
      <c r="M509" s="3"/>
      <c r="N509" s="3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</row>
    <row r="510" spans="1:34" ht="18" customHeight="1" x14ac:dyDescent="0.25">
      <c r="A510" s="1"/>
      <c r="B510" s="1"/>
      <c r="C510" s="2"/>
      <c r="D510" s="143"/>
      <c r="E510" s="1"/>
      <c r="F510" s="1"/>
      <c r="G510" s="1"/>
      <c r="H510" s="1"/>
      <c r="I510" s="1"/>
      <c r="J510" s="1"/>
      <c r="K510" s="1"/>
      <c r="L510" s="1"/>
      <c r="M510" s="3"/>
      <c r="N510" s="3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</row>
    <row r="511" spans="1:34" ht="18" customHeight="1" x14ac:dyDescent="0.25">
      <c r="A511" s="1"/>
      <c r="B511" s="1"/>
      <c r="C511" s="2"/>
      <c r="D511" s="143"/>
      <c r="E511" s="1"/>
      <c r="F511" s="1"/>
      <c r="G511" s="1"/>
      <c r="H511" s="1"/>
      <c r="I511" s="1"/>
      <c r="J511" s="1"/>
      <c r="K511" s="1"/>
      <c r="L511" s="1"/>
      <c r="M511" s="3"/>
      <c r="N511" s="3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</row>
    <row r="512" spans="1:34" ht="18" customHeight="1" x14ac:dyDescent="0.25">
      <c r="A512" s="1"/>
      <c r="B512" s="1"/>
      <c r="C512" s="2"/>
      <c r="D512" s="143"/>
      <c r="E512" s="1"/>
      <c r="F512" s="1"/>
      <c r="G512" s="1"/>
      <c r="H512" s="1"/>
      <c r="I512" s="1"/>
      <c r="J512" s="1"/>
      <c r="K512" s="1"/>
      <c r="L512" s="1"/>
      <c r="M512" s="3"/>
      <c r="N512" s="3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</row>
    <row r="513" spans="1:34" ht="18" customHeight="1" x14ac:dyDescent="0.25">
      <c r="A513" s="1"/>
      <c r="B513" s="1"/>
      <c r="C513" s="2"/>
      <c r="D513" s="143"/>
      <c r="E513" s="1"/>
      <c r="F513" s="1"/>
      <c r="G513" s="1"/>
      <c r="H513" s="1"/>
      <c r="I513" s="1"/>
      <c r="J513" s="1"/>
      <c r="K513" s="1"/>
      <c r="L513" s="1"/>
      <c r="M513" s="3"/>
      <c r="N513" s="3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</row>
    <row r="514" spans="1:34" ht="18" customHeight="1" x14ac:dyDescent="0.25">
      <c r="A514" s="1"/>
      <c r="B514" s="1"/>
      <c r="C514" s="2"/>
      <c r="D514" s="143"/>
      <c r="E514" s="1"/>
      <c r="F514" s="1"/>
      <c r="G514" s="1"/>
      <c r="H514" s="1"/>
      <c r="I514" s="1"/>
      <c r="J514" s="1"/>
      <c r="K514" s="1"/>
      <c r="L514" s="1"/>
      <c r="M514" s="3"/>
      <c r="N514" s="3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</row>
    <row r="515" spans="1:34" ht="18" customHeight="1" x14ac:dyDescent="0.25">
      <c r="A515" s="1"/>
      <c r="B515" s="1"/>
      <c r="C515" s="2"/>
      <c r="D515" s="143"/>
      <c r="E515" s="1"/>
      <c r="F515" s="1"/>
      <c r="G515" s="1"/>
      <c r="H515" s="1"/>
      <c r="I515" s="1"/>
      <c r="J515" s="1"/>
      <c r="K515" s="1"/>
      <c r="L515" s="1"/>
      <c r="M515" s="3"/>
      <c r="N515" s="3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</row>
    <row r="516" spans="1:34" ht="18" customHeight="1" x14ac:dyDescent="0.25">
      <c r="A516" s="1"/>
      <c r="B516" s="1"/>
      <c r="C516" s="2"/>
      <c r="D516" s="143"/>
      <c r="E516" s="1"/>
      <c r="F516" s="1"/>
      <c r="G516" s="1"/>
      <c r="H516" s="1"/>
      <c r="I516" s="1"/>
      <c r="J516" s="1"/>
      <c r="K516" s="1"/>
      <c r="L516" s="1"/>
      <c r="M516" s="3"/>
      <c r="N516" s="3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</row>
    <row r="517" spans="1:34" ht="18" customHeight="1" x14ac:dyDescent="0.25">
      <c r="A517" s="1"/>
      <c r="B517" s="1"/>
      <c r="C517" s="2"/>
      <c r="D517" s="143"/>
      <c r="E517" s="1"/>
      <c r="F517" s="1"/>
      <c r="G517" s="1"/>
      <c r="H517" s="1"/>
      <c r="I517" s="1"/>
      <c r="J517" s="1"/>
      <c r="K517" s="1"/>
      <c r="L517" s="1"/>
      <c r="M517" s="3"/>
      <c r="N517" s="3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</row>
    <row r="518" spans="1:34" ht="18" customHeight="1" x14ac:dyDescent="0.25">
      <c r="A518" s="1"/>
      <c r="B518" s="1"/>
      <c r="C518" s="2"/>
      <c r="D518" s="143"/>
      <c r="E518" s="1"/>
      <c r="F518" s="1"/>
      <c r="G518" s="1"/>
      <c r="H518" s="1"/>
      <c r="I518" s="1"/>
      <c r="J518" s="1"/>
      <c r="K518" s="1"/>
      <c r="L518" s="1"/>
      <c r="M518" s="3"/>
      <c r="N518" s="3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</row>
    <row r="519" spans="1:34" ht="18" customHeight="1" x14ac:dyDescent="0.25">
      <c r="A519" s="1"/>
      <c r="B519" s="1"/>
      <c r="C519" s="2"/>
      <c r="D519" s="143"/>
      <c r="E519" s="1"/>
      <c r="F519" s="1"/>
      <c r="G519" s="1"/>
      <c r="H519" s="1"/>
      <c r="I519" s="1"/>
      <c r="J519" s="1"/>
      <c r="K519" s="1"/>
      <c r="L519" s="1"/>
      <c r="M519" s="3"/>
      <c r="N519" s="3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</row>
    <row r="520" spans="1:34" ht="18" customHeight="1" x14ac:dyDescent="0.25">
      <c r="A520" s="1"/>
      <c r="B520" s="1"/>
      <c r="C520" s="2"/>
      <c r="D520" s="143"/>
      <c r="E520" s="1"/>
      <c r="F520" s="1"/>
      <c r="G520" s="1"/>
      <c r="H520" s="1"/>
      <c r="I520" s="1"/>
      <c r="J520" s="1"/>
      <c r="K520" s="1"/>
      <c r="L520" s="1"/>
      <c r="M520" s="3"/>
      <c r="N520" s="3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</row>
    <row r="521" spans="1:34" ht="18" customHeight="1" x14ac:dyDescent="0.25">
      <c r="A521" s="1"/>
      <c r="B521" s="1"/>
      <c r="C521" s="2"/>
      <c r="D521" s="143"/>
      <c r="E521" s="1"/>
      <c r="F521" s="1"/>
      <c r="G521" s="1"/>
      <c r="H521" s="1"/>
      <c r="I521" s="1"/>
      <c r="J521" s="1"/>
      <c r="K521" s="1"/>
      <c r="L521" s="1"/>
      <c r="M521" s="3"/>
      <c r="N521" s="3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</row>
    <row r="522" spans="1:34" ht="18" customHeight="1" x14ac:dyDescent="0.25">
      <c r="A522" s="1"/>
      <c r="B522" s="1"/>
      <c r="C522" s="2"/>
      <c r="D522" s="143"/>
      <c r="E522" s="1"/>
      <c r="F522" s="1"/>
      <c r="G522" s="1"/>
      <c r="H522" s="1"/>
      <c r="I522" s="1"/>
      <c r="J522" s="1"/>
      <c r="K522" s="1"/>
      <c r="L522" s="1"/>
      <c r="M522" s="3"/>
      <c r="N522" s="3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</row>
    <row r="523" spans="1:34" ht="18" customHeight="1" x14ac:dyDescent="0.25">
      <c r="A523" s="1"/>
      <c r="B523" s="1"/>
      <c r="C523" s="2"/>
      <c r="D523" s="143"/>
      <c r="E523" s="1"/>
      <c r="F523" s="1"/>
      <c r="G523" s="1"/>
      <c r="H523" s="1"/>
      <c r="I523" s="1"/>
      <c r="J523" s="1"/>
      <c r="K523" s="1"/>
      <c r="L523" s="1"/>
      <c r="M523" s="3"/>
      <c r="N523" s="3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</row>
    <row r="524" spans="1:34" ht="18" customHeight="1" x14ac:dyDescent="0.25">
      <c r="A524" s="1"/>
      <c r="B524" s="1"/>
      <c r="C524" s="2"/>
      <c r="D524" s="143"/>
      <c r="E524" s="1"/>
      <c r="F524" s="1"/>
      <c r="G524" s="1"/>
      <c r="H524" s="1"/>
      <c r="I524" s="1"/>
      <c r="J524" s="1"/>
      <c r="K524" s="1"/>
      <c r="L524" s="1"/>
      <c r="M524" s="3"/>
      <c r="N524" s="3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</row>
    <row r="525" spans="1:34" ht="18" customHeight="1" x14ac:dyDescent="0.25">
      <c r="A525" s="1"/>
      <c r="B525" s="1"/>
      <c r="C525" s="2"/>
      <c r="D525" s="143"/>
      <c r="E525" s="1"/>
      <c r="F525" s="1"/>
      <c r="G525" s="1"/>
      <c r="H525" s="1"/>
      <c r="I525" s="1"/>
      <c r="J525" s="1"/>
      <c r="K525" s="1"/>
      <c r="L525" s="1"/>
      <c r="M525" s="3"/>
      <c r="N525" s="3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</row>
    <row r="526" spans="1:34" ht="18" customHeight="1" x14ac:dyDescent="0.25">
      <c r="A526" s="1"/>
      <c r="B526" s="1"/>
      <c r="C526" s="2"/>
      <c r="D526" s="143"/>
      <c r="E526" s="1"/>
      <c r="F526" s="1"/>
      <c r="G526" s="1"/>
      <c r="H526" s="1"/>
      <c r="I526" s="1"/>
      <c r="J526" s="1"/>
      <c r="K526" s="1"/>
      <c r="L526" s="1"/>
      <c r="M526" s="3"/>
      <c r="N526" s="3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</row>
    <row r="527" spans="1:34" ht="18" customHeight="1" x14ac:dyDescent="0.25">
      <c r="A527" s="1"/>
      <c r="B527" s="1"/>
      <c r="C527" s="2"/>
      <c r="D527" s="143"/>
      <c r="E527" s="1"/>
      <c r="F527" s="1"/>
      <c r="G527" s="1"/>
      <c r="H527" s="1"/>
      <c r="I527" s="1"/>
      <c r="J527" s="1"/>
      <c r="K527" s="1"/>
      <c r="L527" s="1"/>
      <c r="M527" s="3"/>
      <c r="N527" s="3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</row>
    <row r="528" spans="1:34" ht="18" customHeight="1" x14ac:dyDescent="0.25">
      <c r="A528" s="1"/>
      <c r="B528" s="1"/>
      <c r="C528" s="2"/>
      <c r="D528" s="143"/>
      <c r="E528" s="1"/>
      <c r="F528" s="1"/>
      <c r="G528" s="1"/>
      <c r="H528" s="1"/>
      <c r="I528" s="1"/>
      <c r="J528" s="1"/>
      <c r="K528" s="1"/>
      <c r="L528" s="1"/>
      <c r="M528" s="3"/>
      <c r="N528" s="3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</row>
    <row r="529" spans="1:34" ht="18" customHeight="1" x14ac:dyDescent="0.25">
      <c r="A529" s="1"/>
      <c r="B529" s="1"/>
      <c r="C529" s="2"/>
      <c r="D529" s="143"/>
      <c r="E529" s="1"/>
      <c r="F529" s="1"/>
      <c r="G529" s="1"/>
      <c r="H529" s="1"/>
      <c r="I529" s="1"/>
      <c r="J529" s="1"/>
      <c r="K529" s="1"/>
      <c r="L529" s="1"/>
      <c r="M529" s="3"/>
      <c r="N529" s="3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</row>
    <row r="530" spans="1:34" ht="18" customHeight="1" x14ac:dyDescent="0.25">
      <c r="A530" s="1"/>
      <c r="B530" s="1"/>
      <c r="C530" s="2"/>
      <c r="D530" s="143"/>
      <c r="E530" s="1"/>
      <c r="F530" s="1"/>
      <c r="G530" s="1"/>
      <c r="H530" s="1"/>
      <c r="I530" s="1"/>
      <c r="J530" s="1"/>
      <c r="K530" s="1"/>
      <c r="L530" s="1"/>
      <c r="M530" s="3"/>
      <c r="N530" s="3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</row>
    <row r="531" spans="1:34" ht="18" customHeight="1" x14ac:dyDescent="0.25">
      <c r="A531" s="1"/>
      <c r="B531" s="1"/>
      <c r="C531" s="2"/>
      <c r="D531" s="143"/>
      <c r="E531" s="1"/>
      <c r="F531" s="1"/>
      <c r="G531" s="1"/>
      <c r="H531" s="1"/>
      <c r="I531" s="1"/>
      <c r="J531" s="1"/>
      <c r="K531" s="1"/>
      <c r="L531" s="1"/>
      <c r="M531" s="3"/>
      <c r="N531" s="3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</row>
    <row r="532" spans="1:34" ht="18" customHeight="1" x14ac:dyDescent="0.25">
      <c r="A532" s="1"/>
      <c r="B532" s="1"/>
      <c r="C532" s="2"/>
      <c r="D532" s="143"/>
      <c r="E532" s="1"/>
      <c r="F532" s="1"/>
      <c r="G532" s="1"/>
      <c r="H532" s="1"/>
      <c r="I532" s="1"/>
      <c r="J532" s="1"/>
      <c r="K532" s="1"/>
      <c r="L532" s="1"/>
      <c r="M532" s="3"/>
      <c r="N532" s="3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</row>
    <row r="533" spans="1:34" ht="18" customHeight="1" x14ac:dyDescent="0.25">
      <c r="A533" s="1"/>
      <c r="B533" s="1"/>
      <c r="C533" s="2"/>
      <c r="D533" s="143"/>
      <c r="E533" s="1"/>
      <c r="F533" s="1"/>
      <c r="G533" s="1"/>
      <c r="H533" s="1"/>
      <c r="I533" s="1"/>
      <c r="J533" s="1"/>
      <c r="K533" s="1"/>
      <c r="L533" s="1"/>
      <c r="M533" s="3"/>
      <c r="N533" s="3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</row>
    <row r="534" spans="1:34" ht="18" customHeight="1" x14ac:dyDescent="0.25">
      <c r="A534" s="1"/>
      <c r="B534" s="1"/>
      <c r="C534" s="2"/>
      <c r="D534" s="143"/>
      <c r="E534" s="1"/>
      <c r="F534" s="1"/>
      <c r="G534" s="1"/>
      <c r="H534" s="1"/>
      <c r="I534" s="1"/>
      <c r="J534" s="1"/>
      <c r="K534" s="1"/>
      <c r="L534" s="1"/>
      <c r="M534" s="3"/>
      <c r="N534" s="3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</row>
    <row r="535" spans="1:34" ht="18" customHeight="1" x14ac:dyDescent="0.25">
      <c r="A535" s="1"/>
      <c r="B535" s="1"/>
      <c r="C535" s="2"/>
      <c r="D535" s="143"/>
      <c r="E535" s="1"/>
      <c r="F535" s="1"/>
      <c r="G535" s="1"/>
      <c r="H535" s="1"/>
      <c r="I535" s="1"/>
      <c r="J535" s="1"/>
      <c r="K535" s="1"/>
      <c r="L535" s="1"/>
      <c r="M535" s="3"/>
      <c r="N535" s="3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</row>
    <row r="536" spans="1:34" ht="18" customHeight="1" x14ac:dyDescent="0.25">
      <c r="A536" s="1"/>
      <c r="B536" s="1"/>
      <c r="C536" s="2"/>
      <c r="D536" s="143"/>
      <c r="E536" s="1"/>
      <c r="F536" s="1"/>
      <c r="G536" s="1"/>
      <c r="H536" s="1"/>
      <c r="I536" s="1"/>
      <c r="J536" s="1"/>
      <c r="K536" s="1"/>
      <c r="L536" s="1"/>
      <c r="M536" s="3"/>
      <c r="N536" s="3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</row>
    <row r="537" spans="1:34" ht="18" customHeight="1" x14ac:dyDescent="0.25">
      <c r="A537" s="1"/>
      <c r="B537" s="1"/>
      <c r="C537" s="2"/>
      <c r="D537" s="143"/>
      <c r="E537" s="1"/>
      <c r="F537" s="1"/>
      <c r="G537" s="1"/>
      <c r="H537" s="1"/>
      <c r="I537" s="1"/>
      <c r="J537" s="1"/>
      <c r="K537" s="1"/>
      <c r="L537" s="1"/>
      <c r="M537" s="3"/>
      <c r="N537" s="3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</row>
    <row r="538" spans="1:34" ht="18" customHeight="1" x14ac:dyDescent="0.25">
      <c r="A538" s="1"/>
      <c r="B538" s="1"/>
      <c r="C538" s="2"/>
      <c r="D538" s="143"/>
      <c r="E538" s="1"/>
      <c r="F538" s="1"/>
      <c r="G538" s="1"/>
      <c r="H538" s="1"/>
      <c r="I538" s="1"/>
      <c r="J538" s="1"/>
      <c r="K538" s="1"/>
      <c r="L538" s="1"/>
      <c r="M538" s="3"/>
      <c r="N538" s="3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</row>
    <row r="539" spans="1:34" ht="18" customHeight="1" x14ac:dyDescent="0.25">
      <c r="A539" s="1"/>
      <c r="B539" s="1"/>
      <c r="C539" s="2"/>
      <c r="D539" s="143"/>
      <c r="E539" s="1"/>
      <c r="F539" s="1"/>
      <c r="G539" s="1"/>
      <c r="H539" s="1"/>
      <c r="I539" s="1"/>
      <c r="J539" s="1"/>
      <c r="K539" s="1"/>
      <c r="L539" s="1"/>
      <c r="M539" s="3"/>
      <c r="N539" s="3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</row>
    <row r="540" spans="1:34" ht="18" customHeight="1" x14ac:dyDescent="0.25">
      <c r="A540" s="1"/>
      <c r="B540" s="1"/>
      <c r="C540" s="2"/>
      <c r="D540" s="143"/>
      <c r="E540" s="1"/>
      <c r="F540" s="1"/>
      <c r="G540" s="1"/>
      <c r="H540" s="1"/>
      <c r="I540" s="1"/>
      <c r="J540" s="1"/>
      <c r="K540" s="1"/>
      <c r="L540" s="1"/>
      <c r="M540" s="3"/>
      <c r="N540" s="3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</row>
    <row r="541" spans="1:34" ht="18" customHeight="1" x14ac:dyDescent="0.25">
      <c r="A541" s="1"/>
      <c r="B541" s="1"/>
      <c r="C541" s="2"/>
      <c r="D541" s="143"/>
      <c r="E541" s="1"/>
      <c r="F541" s="1"/>
      <c r="G541" s="1"/>
      <c r="H541" s="1"/>
      <c r="I541" s="1"/>
      <c r="J541" s="1"/>
      <c r="K541" s="1"/>
      <c r="L541" s="1"/>
      <c r="M541" s="3"/>
      <c r="N541" s="3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</row>
    <row r="542" spans="1:34" ht="18" customHeight="1" x14ac:dyDescent="0.25">
      <c r="A542" s="1"/>
      <c r="B542" s="1"/>
      <c r="C542" s="2"/>
      <c r="D542" s="143"/>
      <c r="E542" s="1"/>
      <c r="F542" s="1"/>
      <c r="G542" s="1"/>
      <c r="H542" s="1"/>
      <c r="I542" s="1"/>
      <c r="J542" s="1"/>
      <c r="K542" s="1"/>
      <c r="L542" s="1"/>
      <c r="M542" s="3"/>
      <c r="N542" s="3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</row>
    <row r="543" spans="1:34" ht="18" customHeight="1" x14ac:dyDescent="0.25">
      <c r="A543" s="1"/>
      <c r="B543" s="1"/>
      <c r="C543" s="2"/>
      <c r="D543" s="143"/>
      <c r="E543" s="1"/>
      <c r="F543" s="1"/>
      <c r="G543" s="1"/>
      <c r="H543" s="1"/>
      <c r="I543" s="1"/>
      <c r="J543" s="1"/>
      <c r="K543" s="1"/>
      <c r="L543" s="1"/>
      <c r="M543" s="3"/>
      <c r="N543" s="3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</row>
    <row r="544" spans="1:34" ht="18" customHeight="1" x14ac:dyDescent="0.25">
      <c r="A544" s="1"/>
      <c r="B544" s="1"/>
      <c r="C544" s="2"/>
      <c r="D544" s="143"/>
      <c r="E544" s="1"/>
      <c r="F544" s="1"/>
      <c r="G544" s="1"/>
      <c r="H544" s="1"/>
      <c r="I544" s="1"/>
      <c r="J544" s="1"/>
      <c r="K544" s="1"/>
      <c r="L544" s="1"/>
      <c r="M544" s="3"/>
      <c r="N544" s="3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</row>
    <row r="545" spans="1:34" ht="18" customHeight="1" x14ac:dyDescent="0.25">
      <c r="A545" s="1"/>
      <c r="B545" s="1"/>
      <c r="C545" s="2"/>
      <c r="D545" s="143"/>
      <c r="E545" s="1"/>
      <c r="F545" s="1"/>
      <c r="G545" s="1"/>
      <c r="H545" s="1"/>
      <c r="I545" s="1"/>
      <c r="J545" s="1"/>
      <c r="K545" s="1"/>
      <c r="L545" s="1"/>
      <c r="M545" s="3"/>
      <c r="N545" s="3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</row>
    <row r="546" spans="1:34" ht="18" customHeight="1" x14ac:dyDescent="0.25">
      <c r="A546" s="1"/>
      <c r="B546" s="1"/>
      <c r="C546" s="2"/>
      <c r="D546" s="143"/>
      <c r="E546" s="1"/>
      <c r="F546" s="1"/>
      <c r="G546" s="1"/>
      <c r="H546" s="1"/>
      <c r="I546" s="1"/>
      <c r="J546" s="1"/>
      <c r="K546" s="1"/>
      <c r="L546" s="1"/>
      <c r="M546" s="3"/>
      <c r="N546" s="3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</row>
    <row r="547" spans="1:34" ht="18" customHeight="1" x14ac:dyDescent="0.25">
      <c r="A547" s="1"/>
      <c r="B547" s="1"/>
      <c r="C547" s="2"/>
      <c r="D547" s="143"/>
      <c r="E547" s="1"/>
      <c r="F547" s="1"/>
      <c r="G547" s="1"/>
      <c r="H547" s="1"/>
      <c r="I547" s="1"/>
      <c r="J547" s="1"/>
      <c r="K547" s="1"/>
      <c r="L547" s="1"/>
      <c r="M547" s="3"/>
      <c r="N547" s="3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</row>
    <row r="548" spans="1:34" ht="18" customHeight="1" x14ac:dyDescent="0.25">
      <c r="A548" s="1"/>
      <c r="B548" s="1"/>
      <c r="C548" s="2"/>
      <c r="D548" s="143"/>
      <c r="E548" s="1"/>
      <c r="F548" s="1"/>
      <c r="G548" s="1"/>
      <c r="H548" s="1"/>
      <c r="I548" s="1"/>
      <c r="J548" s="1"/>
      <c r="K548" s="1"/>
      <c r="L548" s="1"/>
      <c r="M548" s="3"/>
      <c r="N548" s="3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</row>
    <row r="549" spans="1:34" ht="18" customHeight="1" x14ac:dyDescent="0.25">
      <c r="A549" s="1"/>
      <c r="B549" s="1"/>
      <c r="C549" s="2"/>
      <c r="D549" s="143"/>
      <c r="E549" s="1"/>
      <c r="F549" s="1"/>
      <c r="G549" s="1"/>
      <c r="H549" s="1"/>
      <c r="I549" s="1"/>
      <c r="J549" s="1"/>
      <c r="K549" s="1"/>
      <c r="L549" s="1"/>
      <c r="M549" s="3"/>
      <c r="N549" s="3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</row>
    <row r="550" spans="1:34" ht="18" customHeight="1" x14ac:dyDescent="0.25">
      <c r="A550" s="1"/>
      <c r="B550" s="1"/>
      <c r="C550" s="2"/>
      <c r="D550" s="143"/>
      <c r="E550" s="1"/>
      <c r="F550" s="1"/>
      <c r="G550" s="1"/>
      <c r="H550" s="1"/>
      <c r="I550" s="1"/>
      <c r="J550" s="1"/>
      <c r="K550" s="1"/>
      <c r="L550" s="1"/>
      <c r="M550" s="3"/>
      <c r="N550" s="3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</row>
    <row r="551" spans="1:34" ht="18" customHeight="1" x14ac:dyDescent="0.25">
      <c r="A551" s="1"/>
      <c r="B551" s="1"/>
      <c r="C551" s="2"/>
      <c r="D551" s="143"/>
      <c r="E551" s="1"/>
      <c r="F551" s="1"/>
      <c r="G551" s="1"/>
      <c r="H551" s="1"/>
      <c r="I551" s="1"/>
      <c r="J551" s="1"/>
      <c r="K551" s="1"/>
      <c r="L551" s="1"/>
      <c r="M551" s="3"/>
      <c r="N551" s="3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</row>
    <row r="552" spans="1:34" ht="18" customHeight="1" x14ac:dyDescent="0.25">
      <c r="A552" s="1"/>
      <c r="B552" s="1"/>
      <c r="C552" s="2"/>
      <c r="D552" s="143"/>
      <c r="E552" s="1"/>
      <c r="F552" s="1"/>
      <c r="G552" s="1"/>
      <c r="H552" s="1"/>
      <c r="I552" s="1"/>
      <c r="J552" s="1"/>
      <c r="K552" s="1"/>
      <c r="L552" s="1"/>
      <c r="M552" s="3"/>
      <c r="N552" s="3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</row>
    <row r="553" spans="1:34" ht="18" customHeight="1" x14ac:dyDescent="0.25">
      <c r="A553" s="1"/>
      <c r="B553" s="1"/>
      <c r="C553" s="2"/>
      <c r="D553" s="143"/>
      <c r="E553" s="1"/>
      <c r="F553" s="1"/>
      <c r="G553" s="1"/>
      <c r="H553" s="1"/>
      <c r="I553" s="1"/>
      <c r="J553" s="1"/>
      <c r="K553" s="1"/>
      <c r="L553" s="1"/>
      <c r="M553" s="3"/>
      <c r="N553" s="3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</row>
    <row r="554" spans="1:34" ht="18" customHeight="1" x14ac:dyDescent="0.25">
      <c r="A554" s="1"/>
      <c r="B554" s="1"/>
      <c r="C554" s="2"/>
      <c r="D554" s="143"/>
      <c r="E554" s="1"/>
      <c r="F554" s="1"/>
      <c r="G554" s="1"/>
      <c r="H554" s="1"/>
      <c r="I554" s="1"/>
      <c r="J554" s="1"/>
      <c r="K554" s="1"/>
      <c r="L554" s="1"/>
      <c r="M554" s="3"/>
      <c r="N554" s="3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</row>
    <row r="555" spans="1:34" ht="18" customHeight="1" x14ac:dyDescent="0.25">
      <c r="A555" s="1"/>
      <c r="B555" s="1"/>
      <c r="C555" s="2"/>
      <c r="D555" s="143"/>
      <c r="E555" s="1"/>
      <c r="F555" s="1"/>
      <c r="G555" s="1"/>
      <c r="H555" s="1"/>
      <c r="I555" s="1"/>
      <c r="J555" s="1"/>
      <c r="K555" s="1"/>
      <c r="L555" s="1"/>
      <c r="M555" s="3"/>
      <c r="N555" s="3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</row>
    <row r="556" spans="1:34" ht="18" customHeight="1" x14ac:dyDescent="0.25">
      <c r="A556" s="1"/>
      <c r="B556" s="1"/>
      <c r="C556" s="2"/>
      <c r="D556" s="143"/>
      <c r="E556" s="1"/>
      <c r="F556" s="1"/>
      <c r="G556" s="1"/>
      <c r="H556" s="1"/>
      <c r="I556" s="1"/>
      <c r="J556" s="1"/>
      <c r="K556" s="1"/>
      <c r="L556" s="1"/>
      <c r="M556" s="3"/>
      <c r="N556" s="3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</row>
    <row r="557" spans="1:34" ht="18" customHeight="1" x14ac:dyDescent="0.25">
      <c r="A557" s="1"/>
      <c r="B557" s="1"/>
      <c r="C557" s="2"/>
      <c r="D557" s="143"/>
      <c r="E557" s="1"/>
      <c r="F557" s="1"/>
      <c r="G557" s="1"/>
      <c r="H557" s="1"/>
      <c r="I557" s="1"/>
      <c r="J557" s="1"/>
      <c r="K557" s="1"/>
      <c r="L557" s="1"/>
      <c r="M557" s="3"/>
      <c r="N557" s="3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</row>
    <row r="558" spans="1:34" ht="18" customHeight="1" x14ac:dyDescent="0.25">
      <c r="A558" s="1"/>
      <c r="B558" s="1"/>
      <c r="C558" s="2"/>
      <c r="D558" s="143"/>
      <c r="E558" s="1"/>
      <c r="F558" s="1"/>
      <c r="G558" s="1"/>
      <c r="H558" s="1"/>
      <c r="I558" s="1"/>
      <c r="J558" s="1"/>
      <c r="K558" s="1"/>
      <c r="L558" s="1"/>
      <c r="M558" s="3"/>
      <c r="N558" s="3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</row>
    <row r="559" spans="1:34" ht="18" customHeight="1" x14ac:dyDescent="0.25">
      <c r="A559" s="1"/>
      <c r="B559" s="1"/>
      <c r="C559" s="2"/>
      <c r="D559" s="143"/>
      <c r="E559" s="1"/>
      <c r="F559" s="1"/>
      <c r="G559" s="1"/>
      <c r="H559" s="1"/>
      <c r="I559" s="1"/>
      <c r="J559" s="1"/>
      <c r="K559" s="1"/>
      <c r="L559" s="1"/>
      <c r="M559" s="3"/>
      <c r="N559" s="3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</row>
    <row r="560" spans="1:34" ht="18" customHeight="1" x14ac:dyDescent="0.25">
      <c r="A560" s="1"/>
      <c r="B560" s="1"/>
      <c r="C560" s="2"/>
      <c r="D560" s="143"/>
      <c r="E560" s="1"/>
      <c r="F560" s="1"/>
      <c r="G560" s="1"/>
      <c r="H560" s="1"/>
      <c r="I560" s="1"/>
      <c r="J560" s="1"/>
      <c r="K560" s="1"/>
      <c r="L560" s="1"/>
      <c r="M560" s="3"/>
      <c r="N560" s="3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</row>
    <row r="561" spans="1:34" ht="18" customHeight="1" x14ac:dyDescent="0.25">
      <c r="A561" s="1"/>
      <c r="B561" s="1"/>
      <c r="C561" s="2"/>
      <c r="D561" s="143"/>
      <c r="E561" s="1"/>
      <c r="F561" s="1"/>
      <c r="G561" s="1"/>
      <c r="H561" s="1"/>
      <c r="I561" s="1"/>
      <c r="J561" s="1"/>
      <c r="K561" s="1"/>
      <c r="L561" s="1"/>
      <c r="M561" s="3"/>
      <c r="N561" s="3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</row>
    <row r="562" spans="1:34" ht="18" customHeight="1" x14ac:dyDescent="0.25">
      <c r="A562" s="1"/>
      <c r="B562" s="1"/>
      <c r="C562" s="2"/>
      <c r="D562" s="143"/>
      <c r="E562" s="1"/>
      <c r="F562" s="1"/>
      <c r="G562" s="1"/>
      <c r="H562" s="1"/>
      <c r="I562" s="1"/>
      <c r="J562" s="1"/>
      <c r="K562" s="1"/>
      <c r="L562" s="1"/>
      <c r="M562" s="3"/>
      <c r="N562" s="3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</row>
    <row r="563" spans="1:34" ht="18" customHeight="1" x14ac:dyDescent="0.25">
      <c r="A563" s="1"/>
      <c r="B563" s="1"/>
      <c r="C563" s="2"/>
      <c r="D563" s="143"/>
      <c r="E563" s="1"/>
      <c r="F563" s="1"/>
      <c r="G563" s="1"/>
      <c r="H563" s="1"/>
      <c r="I563" s="1"/>
      <c r="J563" s="1"/>
      <c r="K563" s="1"/>
      <c r="L563" s="1"/>
      <c r="M563" s="3"/>
      <c r="N563" s="3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</row>
    <row r="564" spans="1:34" ht="18" customHeight="1" x14ac:dyDescent="0.25">
      <c r="A564" s="1"/>
      <c r="B564" s="1"/>
      <c r="C564" s="2"/>
      <c r="D564" s="143"/>
      <c r="E564" s="1"/>
      <c r="F564" s="1"/>
      <c r="G564" s="1"/>
      <c r="H564" s="1"/>
      <c r="I564" s="1"/>
      <c r="J564" s="1"/>
      <c r="K564" s="1"/>
      <c r="L564" s="1"/>
      <c r="M564" s="3"/>
      <c r="N564" s="3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</row>
    <row r="565" spans="1:34" ht="18" customHeight="1" x14ac:dyDescent="0.25">
      <c r="A565" s="1"/>
      <c r="B565" s="1"/>
      <c r="C565" s="2"/>
      <c r="D565" s="143"/>
      <c r="E565" s="1"/>
      <c r="F565" s="1"/>
      <c r="G565" s="1"/>
      <c r="H565" s="1"/>
      <c r="I565" s="1"/>
      <c r="J565" s="1"/>
      <c r="K565" s="1"/>
      <c r="L565" s="1"/>
      <c r="M565" s="3"/>
      <c r="N565" s="3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</row>
    <row r="566" spans="1:34" ht="18" customHeight="1" x14ac:dyDescent="0.25">
      <c r="A566" s="1"/>
      <c r="B566" s="1"/>
      <c r="C566" s="2"/>
      <c r="D566" s="143"/>
      <c r="E566" s="1"/>
      <c r="F566" s="1"/>
      <c r="G566" s="1"/>
      <c r="H566" s="1"/>
      <c r="I566" s="1"/>
      <c r="J566" s="1"/>
      <c r="K566" s="1"/>
      <c r="L566" s="1"/>
      <c r="M566" s="3"/>
      <c r="N566" s="3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</row>
    <row r="567" spans="1:34" ht="18" customHeight="1" x14ac:dyDescent="0.25">
      <c r="A567" s="1"/>
      <c r="B567" s="1"/>
      <c r="C567" s="2"/>
      <c r="D567" s="143"/>
      <c r="E567" s="1"/>
      <c r="F567" s="1"/>
      <c r="G567" s="1"/>
      <c r="H567" s="1"/>
      <c r="I567" s="1"/>
      <c r="J567" s="1"/>
      <c r="K567" s="1"/>
      <c r="L567" s="1"/>
      <c r="M567" s="3"/>
      <c r="N567" s="3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</row>
    <row r="568" spans="1:34" ht="18" customHeight="1" x14ac:dyDescent="0.25">
      <c r="A568" s="1"/>
      <c r="B568" s="1"/>
      <c r="C568" s="2"/>
      <c r="D568" s="143"/>
      <c r="E568" s="1"/>
      <c r="F568" s="1"/>
      <c r="G568" s="1"/>
      <c r="H568" s="1"/>
      <c r="I568" s="1"/>
      <c r="J568" s="1"/>
      <c r="K568" s="1"/>
      <c r="L568" s="1"/>
      <c r="M568" s="3"/>
      <c r="N568" s="3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</row>
    <row r="569" spans="1:34" ht="18" customHeight="1" x14ac:dyDescent="0.25">
      <c r="A569" s="1"/>
      <c r="B569" s="1"/>
      <c r="C569" s="2"/>
      <c r="D569" s="143"/>
      <c r="E569" s="1"/>
      <c r="F569" s="1"/>
      <c r="G569" s="1"/>
      <c r="H569" s="1"/>
      <c r="I569" s="1"/>
      <c r="J569" s="1"/>
      <c r="K569" s="1"/>
      <c r="L569" s="1"/>
      <c r="M569" s="3"/>
      <c r="N569" s="3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</row>
    <row r="570" spans="1:34" ht="18" customHeight="1" x14ac:dyDescent="0.25">
      <c r="A570" s="1"/>
      <c r="B570" s="1"/>
      <c r="C570" s="2"/>
      <c r="D570" s="143"/>
      <c r="E570" s="1"/>
      <c r="F570" s="1"/>
      <c r="G570" s="1"/>
      <c r="H570" s="1"/>
      <c r="I570" s="1"/>
      <c r="J570" s="1"/>
      <c r="K570" s="1"/>
      <c r="L570" s="1"/>
      <c r="M570" s="3"/>
      <c r="N570" s="3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</row>
    <row r="571" spans="1:34" ht="18" customHeight="1" x14ac:dyDescent="0.25">
      <c r="A571" s="1"/>
      <c r="B571" s="1"/>
      <c r="C571" s="2"/>
      <c r="D571" s="143"/>
      <c r="E571" s="1"/>
      <c r="F571" s="1"/>
      <c r="G571" s="1"/>
      <c r="H571" s="1"/>
      <c r="I571" s="1"/>
      <c r="J571" s="1"/>
      <c r="K571" s="1"/>
      <c r="L571" s="1"/>
      <c r="M571" s="3"/>
      <c r="N571" s="3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</row>
    <row r="572" spans="1:34" ht="18" customHeight="1" x14ac:dyDescent="0.25">
      <c r="A572" s="1"/>
      <c r="B572" s="1"/>
      <c r="C572" s="2"/>
      <c r="D572" s="143"/>
      <c r="E572" s="1"/>
      <c r="F572" s="1"/>
      <c r="G572" s="1"/>
      <c r="H572" s="1"/>
      <c r="I572" s="1"/>
      <c r="J572" s="1"/>
      <c r="K572" s="1"/>
      <c r="L572" s="1"/>
      <c r="M572" s="3"/>
      <c r="N572" s="3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</row>
    <row r="573" spans="1:34" ht="18" customHeight="1" x14ac:dyDescent="0.25">
      <c r="A573" s="1"/>
      <c r="B573" s="1"/>
      <c r="C573" s="2"/>
      <c r="D573" s="143"/>
      <c r="E573" s="1"/>
      <c r="F573" s="1"/>
      <c r="G573" s="1"/>
      <c r="H573" s="1"/>
      <c r="I573" s="1"/>
      <c r="J573" s="1"/>
      <c r="K573" s="1"/>
      <c r="L573" s="1"/>
      <c r="M573" s="3"/>
      <c r="N573" s="3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</row>
    <row r="574" spans="1:34" ht="18" customHeight="1" x14ac:dyDescent="0.25">
      <c r="A574" s="1"/>
      <c r="B574" s="1"/>
      <c r="C574" s="2"/>
      <c r="D574" s="143"/>
      <c r="E574" s="1"/>
      <c r="F574" s="1"/>
      <c r="G574" s="1"/>
      <c r="H574" s="1"/>
      <c r="I574" s="1"/>
      <c r="J574" s="1"/>
      <c r="K574" s="1"/>
      <c r="L574" s="1"/>
      <c r="M574" s="3"/>
      <c r="N574" s="3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</row>
    <row r="575" spans="1:34" ht="18" customHeight="1" x14ac:dyDescent="0.25">
      <c r="A575" s="1"/>
      <c r="B575" s="1"/>
      <c r="C575" s="2"/>
      <c r="D575" s="143"/>
      <c r="E575" s="1"/>
      <c r="F575" s="1"/>
      <c r="G575" s="1"/>
      <c r="H575" s="1"/>
      <c r="I575" s="1"/>
      <c r="J575" s="1"/>
      <c r="K575" s="1"/>
      <c r="L575" s="1"/>
      <c r="M575" s="3"/>
      <c r="N575" s="3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</row>
    <row r="576" spans="1:34" ht="18" customHeight="1" x14ac:dyDescent="0.25">
      <c r="A576" s="1"/>
      <c r="B576" s="1"/>
      <c r="C576" s="2"/>
      <c r="D576" s="143"/>
      <c r="E576" s="1"/>
      <c r="F576" s="1"/>
      <c r="G576" s="1"/>
      <c r="H576" s="1"/>
      <c r="I576" s="1"/>
      <c r="J576" s="1"/>
      <c r="K576" s="1"/>
      <c r="L576" s="1"/>
      <c r="M576" s="3"/>
      <c r="N576" s="3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</row>
    <row r="577" spans="1:34" ht="18" customHeight="1" x14ac:dyDescent="0.25">
      <c r="A577" s="1"/>
      <c r="B577" s="1"/>
      <c r="C577" s="2"/>
      <c r="D577" s="143"/>
      <c r="E577" s="1"/>
      <c r="F577" s="1"/>
      <c r="G577" s="1"/>
      <c r="H577" s="1"/>
      <c r="I577" s="1"/>
      <c r="J577" s="1"/>
      <c r="K577" s="1"/>
      <c r="L577" s="1"/>
      <c r="M577" s="3"/>
      <c r="N577" s="3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</row>
    <row r="578" spans="1:34" ht="18" customHeight="1" x14ac:dyDescent="0.25">
      <c r="A578" s="1"/>
      <c r="B578" s="1"/>
      <c r="C578" s="2"/>
      <c r="D578" s="143"/>
      <c r="E578" s="1"/>
      <c r="F578" s="1"/>
      <c r="G578" s="1"/>
      <c r="H578" s="1"/>
      <c r="I578" s="1"/>
      <c r="J578" s="1"/>
      <c r="K578" s="1"/>
      <c r="L578" s="1"/>
      <c r="M578" s="3"/>
      <c r="N578" s="3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</row>
    <row r="579" spans="1:34" ht="18" customHeight="1" x14ac:dyDescent="0.25">
      <c r="A579" s="1"/>
      <c r="B579" s="1"/>
      <c r="C579" s="2"/>
      <c r="D579" s="143"/>
      <c r="E579" s="1"/>
      <c r="F579" s="1"/>
      <c r="G579" s="1"/>
      <c r="H579" s="1"/>
      <c r="I579" s="1"/>
      <c r="J579" s="1"/>
      <c r="K579" s="1"/>
      <c r="L579" s="1"/>
      <c r="M579" s="3"/>
      <c r="N579" s="3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</row>
    <row r="580" spans="1:34" ht="18" customHeight="1" x14ac:dyDescent="0.25">
      <c r="A580" s="1"/>
      <c r="B580" s="1"/>
      <c r="C580" s="2"/>
      <c r="D580" s="143"/>
      <c r="E580" s="1"/>
      <c r="F580" s="1"/>
      <c r="G580" s="1"/>
      <c r="H580" s="1"/>
      <c r="I580" s="1"/>
      <c r="J580" s="1"/>
      <c r="K580" s="1"/>
      <c r="L580" s="1"/>
      <c r="M580" s="3"/>
      <c r="N580" s="3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</row>
    <row r="581" spans="1:34" ht="18" customHeight="1" x14ac:dyDescent="0.25">
      <c r="A581" s="1"/>
      <c r="B581" s="1"/>
      <c r="C581" s="2"/>
      <c r="D581" s="143"/>
      <c r="E581" s="1"/>
      <c r="F581" s="1"/>
      <c r="G581" s="1"/>
      <c r="H581" s="1"/>
      <c r="I581" s="1"/>
      <c r="J581" s="1"/>
      <c r="K581" s="1"/>
      <c r="L581" s="1"/>
      <c r="M581" s="3"/>
      <c r="N581" s="3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</row>
    <row r="582" spans="1:34" ht="18" customHeight="1" x14ac:dyDescent="0.25">
      <c r="A582" s="1"/>
      <c r="B582" s="1"/>
      <c r="C582" s="2"/>
      <c r="D582" s="143"/>
      <c r="E582" s="1"/>
      <c r="F582" s="1"/>
      <c r="G582" s="1"/>
      <c r="H582" s="1"/>
      <c r="I582" s="1"/>
      <c r="J582" s="1"/>
      <c r="K582" s="1"/>
      <c r="L582" s="1"/>
      <c r="M582" s="3"/>
      <c r="N582" s="3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</row>
    <row r="583" spans="1:34" ht="18" customHeight="1" x14ac:dyDescent="0.25">
      <c r="A583" s="1"/>
      <c r="B583" s="1"/>
      <c r="C583" s="2"/>
      <c r="D583" s="143"/>
      <c r="E583" s="1"/>
      <c r="F583" s="1"/>
      <c r="G583" s="1"/>
      <c r="H583" s="1"/>
      <c r="I583" s="1"/>
      <c r="J583" s="1"/>
      <c r="K583" s="1"/>
      <c r="L583" s="1"/>
      <c r="M583" s="3"/>
      <c r="N583" s="3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</row>
    <row r="584" spans="1:34" ht="18" customHeight="1" x14ac:dyDescent="0.25">
      <c r="A584" s="1"/>
      <c r="B584" s="1"/>
      <c r="C584" s="2"/>
      <c r="D584" s="143"/>
      <c r="E584" s="1"/>
      <c r="F584" s="1"/>
      <c r="G584" s="1"/>
      <c r="H584" s="1"/>
      <c r="I584" s="1"/>
      <c r="J584" s="1"/>
      <c r="K584" s="1"/>
      <c r="L584" s="1"/>
      <c r="M584" s="3"/>
      <c r="N584" s="3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</row>
    <row r="585" spans="1:34" ht="18" customHeight="1" x14ac:dyDescent="0.25">
      <c r="A585" s="1"/>
      <c r="B585" s="1"/>
      <c r="C585" s="2"/>
      <c r="D585" s="143"/>
      <c r="E585" s="1"/>
      <c r="F585" s="1"/>
      <c r="G585" s="1"/>
      <c r="H585" s="1"/>
      <c r="I585" s="1"/>
      <c r="J585" s="1"/>
      <c r="K585" s="1"/>
      <c r="L585" s="1"/>
      <c r="M585" s="3"/>
      <c r="N585" s="3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</row>
    <row r="586" spans="1:34" ht="18" customHeight="1" x14ac:dyDescent="0.25">
      <c r="A586" s="1"/>
      <c r="B586" s="1"/>
      <c r="C586" s="2"/>
      <c r="D586" s="143"/>
      <c r="E586" s="1"/>
      <c r="F586" s="1"/>
      <c r="G586" s="1"/>
      <c r="H586" s="1"/>
      <c r="I586" s="1"/>
      <c r="J586" s="1"/>
      <c r="K586" s="1"/>
      <c r="L586" s="1"/>
      <c r="M586" s="3"/>
      <c r="N586" s="3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</row>
    <row r="587" spans="1:34" ht="18" customHeight="1" x14ac:dyDescent="0.25">
      <c r="A587" s="1"/>
      <c r="B587" s="1"/>
      <c r="C587" s="2"/>
      <c r="D587" s="143"/>
      <c r="E587" s="1"/>
      <c r="F587" s="1"/>
      <c r="G587" s="1"/>
      <c r="H587" s="1"/>
      <c r="I587" s="1"/>
      <c r="J587" s="1"/>
      <c r="K587" s="1"/>
      <c r="L587" s="1"/>
      <c r="M587" s="3"/>
      <c r="N587" s="3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</row>
    <row r="588" spans="1:34" ht="18" customHeight="1" x14ac:dyDescent="0.25">
      <c r="A588" s="1"/>
      <c r="B588" s="1"/>
      <c r="C588" s="2"/>
      <c r="D588" s="143"/>
      <c r="E588" s="1"/>
      <c r="F588" s="1"/>
      <c r="G588" s="1"/>
      <c r="H588" s="1"/>
      <c r="I588" s="1"/>
      <c r="J588" s="1"/>
      <c r="K588" s="1"/>
      <c r="L588" s="1"/>
      <c r="M588" s="3"/>
      <c r="N588" s="3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</row>
    <row r="589" spans="1:34" ht="18" customHeight="1" x14ac:dyDescent="0.25">
      <c r="A589" s="1"/>
      <c r="B589" s="1"/>
      <c r="C589" s="2"/>
      <c r="D589" s="143"/>
      <c r="E589" s="1"/>
      <c r="F589" s="1"/>
      <c r="G589" s="1"/>
      <c r="H589" s="1"/>
      <c r="I589" s="1"/>
      <c r="J589" s="1"/>
      <c r="K589" s="1"/>
      <c r="L589" s="1"/>
      <c r="M589" s="3"/>
      <c r="N589" s="3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</row>
    <row r="590" spans="1:34" ht="18" customHeight="1" x14ac:dyDescent="0.25">
      <c r="A590" s="1"/>
      <c r="B590" s="1"/>
      <c r="C590" s="2"/>
      <c r="D590" s="143"/>
      <c r="E590" s="1"/>
      <c r="F590" s="1"/>
      <c r="G590" s="1"/>
      <c r="H590" s="1"/>
      <c r="I590" s="1"/>
      <c r="J590" s="1"/>
      <c r="K590" s="1"/>
      <c r="L590" s="1"/>
      <c r="M590" s="3"/>
      <c r="N590" s="3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</row>
    <row r="591" spans="1:34" ht="18" customHeight="1" x14ac:dyDescent="0.25">
      <c r="A591" s="1"/>
      <c r="B591" s="1"/>
      <c r="C591" s="2"/>
      <c r="D591" s="143"/>
      <c r="E591" s="1"/>
      <c r="F591" s="1"/>
      <c r="G591" s="1"/>
      <c r="H591" s="1"/>
      <c r="I591" s="1"/>
      <c r="J591" s="1"/>
      <c r="K591" s="1"/>
      <c r="L591" s="1"/>
      <c r="M591" s="3"/>
      <c r="N591" s="3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</row>
    <row r="592" spans="1:34" ht="18" customHeight="1" x14ac:dyDescent="0.25">
      <c r="A592" s="1"/>
      <c r="B592" s="1"/>
      <c r="C592" s="2"/>
      <c r="D592" s="143"/>
      <c r="E592" s="1"/>
      <c r="F592" s="1"/>
      <c r="G592" s="1"/>
      <c r="H592" s="1"/>
      <c r="I592" s="1"/>
      <c r="J592" s="1"/>
      <c r="K592" s="1"/>
      <c r="L592" s="1"/>
      <c r="M592" s="3"/>
      <c r="N592" s="3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</row>
    <row r="593" spans="1:34" ht="18" customHeight="1" x14ac:dyDescent="0.25">
      <c r="A593" s="1"/>
      <c r="B593" s="1"/>
      <c r="C593" s="2"/>
      <c r="D593" s="143"/>
      <c r="E593" s="1"/>
      <c r="F593" s="1"/>
      <c r="G593" s="1"/>
      <c r="H593" s="1"/>
      <c r="I593" s="1"/>
      <c r="J593" s="1"/>
      <c r="K593" s="1"/>
      <c r="L593" s="1"/>
      <c r="M593" s="3"/>
      <c r="N593" s="3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</row>
    <row r="594" spans="1:34" ht="18" customHeight="1" x14ac:dyDescent="0.25">
      <c r="A594" s="1"/>
      <c r="B594" s="1"/>
      <c r="C594" s="2"/>
      <c r="D594" s="143"/>
      <c r="E594" s="1"/>
      <c r="F594" s="1"/>
      <c r="G594" s="1"/>
      <c r="H594" s="1"/>
      <c r="I594" s="1"/>
      <c r="J594" s="1"/>
      <c r="K594" s="1"/>
      <c r="L594" s="1"/>
      <c r="M594" s="3"/>
      <c r="N594" s="3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</row>
    <row r="595" spans="1:34" ht="18" customHeight="1" x14ac:dyDescent="0.25">
      <c r="A595" s="1"/>
      <c r="B595" s="1"/>
      <c r="C595" s="2"/>
      <c r="D595" s="143"/>
      <c r="E595" s="1"/>
      <c r="F595" s="1"/>
      <c r="G595" s="1"/>
      <c r="H595" s="1"/>
      <c r="I595" s="1"/>
      <c r="J595" s="1"/>
      <c r="K595" s="1"/>
      <c r="L595" s="1"/>
      <c r="M595" s="3"/>
      <c r="N595" s="3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</row>
    <row r="596" spans="1:34" ht="18" customHeight="1" x14ac:dyDescent="0.25">
      <c r="A596" s="1"/>
      <c r="B596" s="1"/>
      <c r="C596" s="2"/>
      <c r="D596" s="143"/>
      <c r="E596" s="1"/>
      <c r="F596" s="1"/>
      <c r="G596" s="1"/>
      <c r="H596" s="1"/>
      <c r="I596" s="1"/>
      <c r="J596" s="1"/>
      <c r="K596" s="1"/>
      <c r="L596" s="1"/>
      <c r="M596" s="3"/>
      <c r="N596" s="3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</row>
    <row r="597" spans="1:34" ht="18" customHeight="1" x14ac:dyDescent="0.25">
      <c r="A597" s="1"/>
      <c r="B597" s="1"/>
      <c r="C597" s="2"/>
      <c r="D597" s="143"/>
      <c r="E597" s="1"/>
      <c r="F597" s="1"/>
      <c r="G597" s="1"/>
      <c r="H597" s="1"/>
      <c r="I597" s="1"/>
      <c r="J597" s="1"/>
      <c r="K597" s="1"/>
      <c r="L597" s="1"/>
      <c r="M597" s="3"/>
      <c r="N597" s="3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</row>
    <row r="598" spans="1:34" ht="18" customHeight="1" x14ac:dyDescent="0.25">
      <c r="A598" s="1"/>
      <c r="B598" s="1"/>
      <c r="C598" s="2"/>
      <c r="D598" s="143"/>
      <c r="E598" s="1"/>
      <c r="F598" s="1"/>
      <c r="G598" s="1"/>
      <c r="H598" s="1"/>
      <c r="I598" s="1"/>
      <c r="J598" s="1"/>
      <c r="K598" s="1"/>
      <c r="L598" s="1"/>
      <c r="M598" s="3"/>
      <c r="N598" s="3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</row>
    <row r="599" spans="1:34" ht="18" customHeight="1" x14ac:dyDescent="0.25">
      <c r="A599" s="1"/>
      <c r="B599" s="1"/>
      <c r="C599" s="2"/>
      <c r="D599" s="143"/>
      <c r="E599" s="1"/>
      <c r="F599" s="1"/>
      <c r="G599" s="1"/>
      <c r="H599" s="1"/>
      <c r="I599" s="1"/>
      <c r="J599" s="1"/>
      <c r="K599" s="1"/>
      <c r="L599" s="1"/>
      <c r="M599" s="3"/>
      <c r="N599" s="3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</row>
    <row r="600" spans="1:34" ht="18" customHeight="1" x14ac:dyDescent="0.25">
      <c r="A600" s="1"/>
      <c r="B600" s="1"/>
      <c r="C600" s="2"/>
      <c r="D600" s="143"/>
      <c r="E600" s="1"/>
      <c r="F600" s="1"/>
      <c r="G600" s="1"/>
      <c r="H600" s="1"/>
      <c r="I600" s="1"/>
      <c r="J600" s="1"/>
      <c r="K600" s="1"/>
      <c r="L600" s="1"/>
      <c r="M600" s="3"/>
      <c r="N600" s="3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</row>
    <row r="601" spans="1:34" ht="18" customHeight="1" x14ac:dyDescent="0.25">
      <c r="A601" s="1"/>
      <c r="B601" s="1"/>
      <c r="C601" s="2"/>
      <c r="D601" s="143"/>
      <c r="E601" s="1"/>
      <c r="F601" s="1"/>
      <c r="G601" s="1"/>
      <c r="H601" s="1"/>
      <c r="I601" s="1"/>
      <c r="J601" s="1"/>
      <c r="K601" s="1"/>
      <c r="L601" s="1"/>
      <c r="M601" s="3"/>
      <c r="N601" s="3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</row>
    <row r="602" spans="1:34" ht="18" customHeight="1" x14ac:dyDescent="0.25">
      <c r="A602" s="1"/>
      <c r="B602" s="1"/>
      <c r="C602" s="2"/>
      <c r="D602" s="143"/>
      <c r="E602" s="1"/>
      <c r="F602" s="1"/>
      <c r="G602" s="1"/>
      <c r="H602" s="1"/>
      <c r="I602" s="1"/>
      <c r="J602" s="1"/>
      <c r="K602" s="1"/>
      <c r="L602" s="1"/>
      <c r="M602" s="3"/>
      <c r="N602" s="3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</row>
    <row r="603" spans="1:34" ht="18" customHeight="1" x14ac:dyDescent="0.25">
      <c r="A603" s="1"/>
      <c r="B603" s="1"/>
      <c r="C603" s="2"/>
      <c r="D603" s="143"/>
      <c r="E603" s="1"/>
      <c r="F603" s="1"/>
      <c r="G603" s="1"/>
      <c r="H603" s="1"/>
      <c r="I603" s="1"/>
      <c r="J603" s="1"/>
      <c r="K603" s="1"/>
      <c r="L603" s="1"/>
      <c r="M603" s="3"/>
      <c r="N603" s="3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</row>
    <row r="604" spans="1:34" ht="18" customHeight="1" x14ac:dyDescent="0.25">
      <c r="A604" s="1"/>
      <c r="B604" s="1"/>
      <c r="C604" s="2"/>
      <c r="D604" s="143"/>
      <c r="E604" s="1"/>
      <c r="F604" s="1"/>
      <c r="G604" s="1"/>
      <c r="H604" s="1"/>
      <c r="I604" s="1"/>
      <c r="J604" s="1"/>
      <c r="K604" s="1"/>
      <c r="L604" s="1"/>
      <c r="M604" s="3"/>
      <c r="N604" s="3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</row>
    <row r="605" spans="1:34" ht="18" customHeight="1" x14ac:dyDescent="0.25">
      <c r="A605" s="1"/>
      <c r="B605" s="1"/>
      <c r="C605" s="2"/>
      <c r="D605" s="143"/>
      <c r="E605" s="1"/>
      <c r="F605" s="1"/>
      <c r="G605" s="1"/>
      <c r="H605" s="1"/>
      <c r="I605" s="1"/>
      <c r="J605" s="1"/>
      <c r="K605" s="1"/>
      <c r="L605" s="1"/>
      <c r="M605" s="3"/>
      <c r="N605" s="3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</row>
    <row r="606" spans="1:34" ht="18" customHeight="1" x14ac:dyDescent="0.25">
      <c r="A606" s="1"/>
      <c r="B606" s="1"/>
      <c r="C606" s="2"/>
      <c r="D606" s="143"/>
      <c r="E606" s="1"/>
      <c r="F606" s="1"/>
      <c r="G606" s="1"/>
      <c r="H606" s="1"/>
      <c r="I606" s="1"/>
      <c r="J606" s="1"/>
      <c r="K606" s="1"/>
      <c r="L606" s="1"/>
      <c r="M606" s="3"/>
      <c r="N606" s="3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</row>
    <row r="607" spans="1:34" ht="18" customHeight="1" x14ac:dyDescent="0.25">
      <c r="A607" s="1"/>
      <c r="B607" s="1"/>
      <c r="C607" s="2"/>
      <c r="D607" s="143"/>
      <c r="E607" s="1"/>
      <c r="F607" s="1"/>
      <c r="G607" s="1"/>
      <c r="H607" s="1"/>
      <c r="I607" s="1"/>
      <c r="J607" s="1"/>
      <c r="K607" s="1"/>
      <c r="L607" s="1"/>
      <c r="M607" s="3"/>
      <c r="N607" s="3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</row>
    <row r="608" spans="1:34" ht="18" customHeight="1" x14ac:dyDescent="0.25">
      <c r="A608" s="1"/>
      <c r="B608" s="1"/>
      <c r="C608" s="2"/>
      <c r="D608" s="143"/>
      <c r="E608" s="1"/>
      <c r="F608" s="1"/>
      <c r="G608" s="1"/>
      <c r="H608" s="1"/>
      <c r="I608" s="1"/>
      <c r="J608" s="1"/>
      <c r="K608" s="1"/>
      <c r="L608" s="1"/>
      <c r="M608" s="3"/>
      <c r="N608" s="3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</row>
    <row r="609" spans="1:34" ht="18" customHeight="1" x14ac:dyDescent="0.25">
      <c r="A609" s="1"/>
      <c r="B609" s="1"/>
      <c r="C609" s="2"/>
      <c r="D609" s="143"/>
      <c r="E609" s="1"/>
      <c r="F609" s="1"/>
      <c r="G609" s="1"/>
      <c r="H609" s="1"/>
      <c r="I609" s="1"/>
      <c r="J609" s="1"/>
      <c r="K609" s="1"/>
      <c r="L609" s="1"/>
      <c r="M609" s="3"/>
      <c r="N609" s="3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</row>
    <row r="610" spans="1:34" ht="18" customHeight="1" x14ac:dyDescent="0.25">
      <c r="A610" s="1"/>
      <c r="B610" s="1"/>
      <c r="C610" s="2"/>
      <c r="D610" s="143"/>
      <c r="E610" s="1"/>
      <c r="F610" s="1"/>
      <c r="G610" s="1"/>
      <c r="H610" s="1"/>
      <c r="I610" s="1"/>
      <c r="J610" s="1"/>
      <c r="K610" s="1"/>
      <c r="L610" s="1"/>
      <c r="M610" s="3"/>
      <c r="N610" s="3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</row>
    <row r="611" spans="1:34" ht="18" customHeight="1" x14ac:dyDescent="0.25">
      <c r="A611" s="1"/>
      <c r="B611" s="1"/>
      <c r="C611" s="2"/>
      <c r="D611" s="143"/>
      <c r="E611" s="1"/>
      <c r="F611" s="1"/>
      <c r="G611" s="1"/>
      <c r="H611" s="1"/>
      <c r="I611" s="1"/>
      <c r="J611" s="1"/>
      <c r="K611" s="1"/>
      <c r="L611" s="1"/>
      <c r="M611" s="3"/>
      <c r="N611" s="3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</row>
    <row r="612" spans="1:34" ht="18" customHeight="1" x14ac:dyDescent="0.25">
      <c r="A612" s="1"/>
      <c r="B612" s="1"/>
      <c r="C612" s="2"/>
      <c r="D612" s="143"/>
      <c r="E612" s="1"/>
      <c r="F612" s="1"/>
      <c r="G612" s="1"/>
      <c r="H612" s="1"/>
      <c r="I612" s="1"/>
      <c r="J612" s="1"/>
      <c r="K612" s="1"/>
      <c r="L612" s="1"/>
      <c r="M612" s="3"/>
      <c r="N612" s="3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</row>
    <row r="613" spans="1:34" ht="18" customHeight="1" x14ac:dyDescent="0.25">
      <c r="A613" s="1"/>
      <c r="B613" s="1"/>
      <c r="C613" s="2"/>
      <c r="D613" s="143"/>
      <c r="E613" s="1"/>
      <c r="F613" s="1"/>
      <c r="G613" s="1"/>
      <c r="H613" s="1"/>
      <c r="I613" s="1"/>
      <c r="J613" s="1"/>
      <c r="K613" s="1"/>
      <c r="L613" s="1"/>
      <c r="M613" s="3"/>
      <c r="N613" s="3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</row>
    <row r="614" spans="1:34" ht="18" customHeight="1" x14ac:dyDescent="0.25">
      <c r="A614" s="1"/>
      <c r="B614" s="1"/>
      <c r="C614" s="2"/>
      <c r="D614" s="143"/>
      <c r="E614" s="1"/>
      <c r="F614" s="1"/>
      <c r="G614" s="1"/>
      <c r="H614" s="1"/>
      <c r="I614" s="1"/>
      <c r="J614" s="1"/>
      <c r="K614" s="1"/>
      <c r="L614" s="1"/>
      <c r="M614" s="3"/>
      <c r="N614" s="3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</row>
    <row r="615" spans="1:34" ht="18" customHeight="1" x14ac:dyDescent="0.25">
      <c r="A615" s="1"/>
      <c r="B615" s="1"/>
      <c r="C615" s="2"/>
      <c r="D615" s="143"/>
      <c r="E615" s="1"/>
      <c r="F615" s="1"/>
      <c r="G615" s="1"/>
      <c r="H615" s="1"/>
      <c r="I615" s="1"/>
      <c r="J615" s="1"/>
      <c r="K615" s="1"/>
      <c r="L615" s="1"/>
      <c r="M615" s="3"/>
      <c r="N615" s="3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</row>
    <row r="616" spans="1:34" ht="18" customHeight="1" x14ac:dyDescent="0.25">
      <c r="A616" s="1"/>
      <c r="B616" s="1"/>
      <c r="C616" s="2"/>
      <c r="D616" s="143"/>
      <c r="E616" s="1"/>
      <c r="F616" s="1"/>
      <c r="G616" s="1"/>
      <c r="H616" s="1"/>
      <c r="I616" s="1"/>
      <c r="J616" s="1"/>
      <c r="K616" s="1"/>
      <c r="L616" s="1"/>
      <c r="M616" s="3"/>
      <c r="N616" s="3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</row>
    <row r="617" spans="1:34" ht="18" customHeight="1" x14ac:dyDescent="0.25">
      <c r="A617" s="1"/>
      <c r="B617" s="1"/>
      <c r="C617" s="2"/>
      <c r="D617" s="143"/>
      <c r="E617" s="1"/>
      <c r="F617" s="1"/>
      <c r="G617" s="1"/>
      <c r="H617" s="1"/>
      <c r="I617" s="1"/>
      <c r="J617" s="1"/>
      <c r="K617" s="1"/>
      <c r="L617" s="1"/>
      <c r="M617" s="3"/>
      <c r="N617" s="3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</row>
    <row r="618" spans="1:34" ht="18" customHeight="1" x14ac:dyDescent="0.25">
      <c r="A618" s="1"/>
      <c r="B618" s="1"/>
      <c r="C618" s="2"/>
      <c r="D618" s="143"/>
      <c r="E618" s="1"/>
      <c r="F618" s="1"/>
      <c r="G618" s="1"/>
      <c r="H618" s="1"/>
      <c r="I618" s="1"/>
      <c r="J618" s="1"/>
      <c r="K618" s="1"/>
      <c r="L618" s="1"/>
      <c r="M618" s="3"/>
      <c r="N618" s="3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</row>
    <row r="619" spans="1:34" ht="18" customHeight="1" x14ac:dyDescent="0.25">
      <c r="A619" s="1"/>
      <c r="B619" s="1"/>
      <c r="C619" s="2"/>
      <c r="D619" s="143"/>
      <c r="E619" s="1"/>
      <c r="F619" s="1"/>
      <c r="G619" s="1"/>
      <c r="H619" s="1"/>
      <c r="I619" s="1"/>
      <c r="J619" s="1"/>
      <c r="K619" s="1"/>
      <c r="L619" s="1"/>
      <c r="M619" s="3"/>
      <c r="N619" s="3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</row>
    <row r="620" spans="1:34" ht="18" customHeight="1" x14ac:dyDescent="0.25">
      <c r="A620" s="1"/>
      <c r="B620" s="1"/>
      <c r="C620" s="2"/>
      <c r="D620" s="143"/>
      <c r="E620" s="1"/>
      <c r="F620" s="1"/>
      <c r="G620" s="1"/>
      <c r="H620" s="1"/>
      <c r="I620" s="1"/>
      <c r="J620" s="1"/>
      <c r="K620" s="1"/>
      <c r="L620" s="1"/>
      <c r="M620" s="3"/>
      <c r="N620" s="3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</row>
    <row r="621" spans="1:34" ht="18" customHeight="1" x14ac:dyDescent="0.25">
      <c r="A621" s="1"/>
      <c r="B621" s="1"/>
      <c r="C621" s="2"/>
      <c r="D621" s="143"/>
      <c r="E621" s="1"/>
      <c r="F621" s="1"/>
      <c r="G621" s="1"/>
      <c r="H621" s="1"/>
      <c r="I621" s="1"/>
      <c r="J621" s="1"/>
      <c r="K621" s="1"/>
      <c r="L621" s="1"/>
      <c r="M621" s="3"/>
      <c r="N621" s="3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</row>
    <row r="622" spans="1:34" ht="18" customHeight="1" x14ac:dyDescent="0.25">
      <c r="A622" s="1"/>
      <c r="B622" s="1"/>
      <c r="C622" s="2"/>
      <c r="D622" s="143"/>
      <c r="E622" s="1"/>
      <c r="F622" s="1"/>
      <c r="G622" s="1"/>
      <c r="H622" s="1"/>
      <c r="I622" s="1"/>
      <c r="J622" s="1"/>
      <c r="K622" s="1"/>
      <c r="L622" s="1"/>
      <c r="M622" s="3"/>
      <c r="N622" s="3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</row>
    <row r="623" spans="1:34" ht="18" customHeight="1" x14ac:dyDescent="0.25">
      <c r="A623" s="1"/>
      <c r="B623" s="1"/>
      <c r="C623" s="2"/>
      <c r="D623" s="143"/>
      <c r="E623" s="1"/>
      <c r="F623" s="1"/>
      <c r="G623" s="1"/>
      <c r="H623" s="1"/>
      <c r="I623" s="1"/>
      <c r="J623" s="1"/>
      <c r="K623" s="1"/>
      <c r="L623" s="1"/>
      <c r="M623" s="3"/>
      <c r="N623" s="3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</row>
    <row r="624" spans="1:34" ht="18" customHeight="1" x14ac:dyDescent="0.25">
      <c r="A624" s="1"/>
      <c r="B624" s="1"/>
      <c r="C624" s="2"/>
      <c r="D624" s="143"/>
      <c r="E624" s="1"/>
      <c r="F624" s="1"/>
      <c r="G624" s="1"/>
      <c r="H624" s="1"/>
      <c r="I624" s="1"/>
      <c r="J624" s="1"/>
      <c r="K624" s="1"/>
      <c r="L624" s="1"/>
      <c r="M624" s="3"/>
      <c r="N624" s="3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</row>
    <row r="625" spans="1:34" ht="18" customHeight="1" x14ac:dyDescent="0.25">
      <c r="A625" s="1"/>
      <c r="B625" s="1"/>
      <c r="C625" s="2"/>
      <c r="D625" s="143"/>
      <c r="E625" s="1"/>
      <c r="F625" s="1"/>
      <c r="G625" s="1"/>
      <c r="H625" s="1"/>
      <c r="I625" s="1"/>
      <c r="J625" s="1"/>
      <c r="K625" s="1"/>
      <c r="L625" s="1"/>
      <c r="M625" s="3"/>
      <c r="N625" s="3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</row>
    <row r="626" spans="1:34" ht="18" customHeight="1" x14ac:dyDescent="0.25">
      <c r="A626" s="1"/>
      <c r="B626" s="1"/>
      <c r="C626" s="2"/>
      <c r="D626" s="143"/>
      <c r="E626" s="1"/>
      <c r="F626" s="1"/>
      <c r="G626" s="1"/>
      <c r="H626" s="1"/>
      <c r="I626" s="1"/>
      <c r="J626" s="1"/>
      <c r="K626" s="1"/>
      <c r="L626" s="1"/>
      <c r="M626" s="3"/>
      <c r="N626" s="3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</row>
    <row r="627" spans="1:34" ht="18" customHeight="1" x14ac:dyDescent="0.25">
      <c r="A627" s="1"/>
      <c r="B627" s="1"/>
      <c r="C627" s="2"/>
      <c r="D627" s="143"/>
      <c r="E627" s="1"/>
      <c r="F627" s="1"/>
      <c r="G627" s="1"/>
      <c r="H627" s="1"/>
      <c r="I627" s="1"/>
      <c r="J627" s="1"/>
      <c r="K627" s="1"/>
      <c r="L627" s="1"/>
      <c r="M627" s="3"/>
      <c r="N627" s="3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</row>
    <row r="628" spans="1:34" ht="18" customHeight="1" x14ac:dyDescent="0.25">
      <c r="A628" s="1"/>
      <c r="B628" s="1"/>
      <c r="C628" s="2"/>
      <c r="D628" s="143"/>
      <c r="E628" s="1"/>
      <c r="F628" s="1"/>
      <c r="G628" s="1"/>
      <c r="H628" s="1"/>
      <c r="I628" s="1"/>
      <c r="J628" s="1"/>
      <c r="K628" s="1"/>
      <c r="L628" s="1"/>
      <c r="M628" s="3"/>
      <c r="N628" s="3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</row>
    <row r="629" spans="1:34" ht="18" customHeight="1" x14ac:dyDescent="0.25">
      <c r="A629" s="1"/>
      <c r="B629" s="1"/>
      <c r="C629" s="2"/>
      <c r="D629" s="143"/>
      <c r="E629" s="1"/>
      <c r="F629" s="1"/>
      <c r="G629" s="1"/>
      <c r="H629" s="1"/>
      <c r="I629" s="1"/>
      <c r="J629" s="1"/>
      <c r="K629" s="1"/>
      <c r="L629" s="1"/>
      <c r="M629" s="3"/>
      <c r="N629" s="3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</row>
    <row r="630" spans="1:34" ht="18" customHeight="1" x14ac:dyDescent="0.25">
      <c r="A630" s="1"/>
      <c r="B630" s="1"/>
      <c r="C630" s="2"/>
      <c r="D630" s="143"/>
      <c r="E630" s="1"/>
      <c r="F630" s="1"/>
      <c r="G630" s="1"/>
      <c r="H630" s="1"/>
      <c r="I630" s="1"/>
      <c r="J630" s="1"/>
      <c r="K630" s="1"/>
      <c r="L630" s="1"/>
      <c r="M630" s="3"/>
      <c r="N630" s="3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</row>
    <row r="631" spans="1:34" ht="18" customHeight="1" x14ac:dyDescent="0.25">
      <c r="A631" s="1"/>
      <c r="B631" s="1"/>
      <c r="C631" s="2"/>
      <c r="D631" s="143"/>
      <c r="E631" s="1"/>
      <c r="F631" s="1"/>
      <c r="G631" s="1"/>
      <c r="H631" s="1"/>
      <c r="I631" s="1"/>
      <c r="J631" s="1"/>
      <c r="K631" s="1"/>
      <c r="L631" s="1"/>
      <c r="M631" s="3"/>
      <c r="N631" s="3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</row>
    <row r="632" spans="1:34" ht="18" customHeight="1" x14ac:dyDescent="0.25">
      <c r="A632" s="1"/>
      <c r="B632" s="1"/>
      <c r="C632" s="2"/>
      <c r="D632" s="143"/>
      <c r="E632" s="1"/>
      <c r="F632" s="1"/>
      <c r="G632" s="1"/>
      <c r="H632" s="1"/>
      <c r="I632" s="1"/>
      <c r="J632" s="1"/>
      <c r="K632" s="1"/>
      <c r="L632" s="1"/>
      <c r="M632" s="3"/>
      <c r="N632" s="3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</row>
    <row r="633" spans="1:34" ht="18" customHeight="1" x14ac:dyDescent="0.25">
      <c r="A633" s="1"/>
      <c r="B633" s="1"/>
      <c r="C633" s="2"/>
      <c r="D633" s="143"/>
      <c r="E633" s="1"/>
      <c r="F633" s="1"/>
      <c r="G633" s="1"/>
      <c r="H633" s="1"/>
      <c r="I633" s="1"/>
      <c r="J633" s="1"/>
      <c r="K633" s="1"/>
      <c r="L633" s="1"/>
      <c r="M633" s="3"/>
      <c r="N633" s="3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</row>
    <row r="634" spans="1:34" ht="18" customHeight="1" x14ac:dyDescent="0.25">
      <c r="A634" s="1"/>
      <c r="B634" s="1"/>
      <c r="C634" s="2"/>
      <c r="D634" s="143"/>
      <c r="E634" s="1"/>
      <c r="F634" s="1"/>
      <c r="G634" s="1"/>
      <c r="H634" s="1"/>
      <c r="I634" s="1"/>
      <c r="J634" s="1"/>
      <c r="K634" s="1"/>
      <c r="L634" s="1"/>
      <c r="M634" s="3"/>
      <c r="N634" s="3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</row>
    <row r="635" spans="1:34" ht="18" customHeight="1" x14ac:dyDescent="0.25">
      <c r="A635" s="1"/>
      <c r="B635" s="1"/>
      <c r="C635" s="2"/>
      <c r="D635" s="143"/>
      <c r="E635" s="1"/>
      <c r="F635" s="1"/>
      <c r="G635" s="1"/>
      <c r="H635" s="1"/>
      <c r="I635" s="1"/>
      <c r="J635" s="1"/>
      <c r="K635" s="1"/>
      <c r="L635" s="1"/>
      <c r="M635" s="3"/>
      <c r="N635" s="3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</row>
    <row r="636" spans="1:34" ht="18" customHeight="1" x14ac:dyDescent="0.25">
      <c r="A636" s="1"/>
      <c r="B636" s="1"/>
      <c r="C636" s="2"/>
      <c r="D636" s="143"/>
      <c r="E636" s="1"/>
      <c r="F636" s="1"/>
      <c r="G636" s="1"/>
      <c r="H636" s="1"/>
      <c r="I636" s="1"/>
      <c r="J636" s="1"/>
      <c r="K636" s="1"/>
      <c r="L636" s="1"/>
      <c r="M636" s="3"/>
      <c r="N636" s="3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</row>
    <row r="637" spans="1:34" ht="18" customHeight="1" x14ac:dyDescent="0.25">
      <c r="A637" s="1"/>
      <c r="B637" s="1"/>
      <c r="C637" s="2"/>
      <c r="D637" s="143"/>
      <c r="E637" s="1"/>
      <c r="F637" s="1"/>
      <c r="G637" s="1"/>
      <c r="H637" s="1"/>
      <c r="I637" s="1"/>
      <c r="J637" s="1"/>
      <c r="K637" s="1"/>
      <c r="L637" s="1"/>
      <c r="M637" s="3"/>
      <c r="N637" s="3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</row>
    <row r="638" spans="1:34" ht="18" customHeight="1" x14ac:dyDescent="0.25">
      <c r="A638" s="1"/>
      <c r="B638" s="1"/>
      <c r="C638" s="2"/>
      <c r="D638" s="143"/>
      <c r="E638" s="1"/>
      <c r="F638" s="1"/>
      <c r="G638" s="1"/>
      <c r="H638" s="1"/>
      <c r="I638" s="1"/>
      <c r="J638" s="1"/>
      <c r="K638" s="1"/>
      <c r="L638" s="1"/>
      <c r="M638" s="3"/>
      <c r="N638" s="3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</row>
    <row r="639" spans="1:34" ht="18" customHeight="1" x14ac:dyDescent="0.25">
      <c r="A639" s="1"/>
      <c r="B639" s="1"/>
      <c r="C639" s="2"/>
      <c r="D639" s="143"/>
      <c r="E639" s="1"/>
      <c r="F639" s="1"/>
      <c r="G639" s="1"/>
      <c r="H639" s="1"/>
      <c r="I639" s="1"/>
      <c r="J639" s="1"/>
      <c r="K639" s="1"/>
      <c r="L639" s="1"/>
      <c r="M639" s="3"/>
      <c r="N639" s="3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</row>
    <row r="640" spans="1:34" ht="18" customHeight="1" x14ac:dyDescent="0.25">
      <c r="A640" s="1"/>
      <c r="B640" s="1"/>
      <c r="C640" s="2"/>
      <c r="D640" s="143"/>
      <c r="E640" s="1"/>
      <c r="F640" s="1"/>
      <c r="G640" s="1"/>
      <c r="H640" s="1"/>
      <c r="I640" s="1"/>
      <c r="J640" s="1"/>
      <c r="K640" s="1"/>
      <c r="L640" s="1"/>
      <c r="M640" s="3"/>
      <c r="N640" s="3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</row>
    <row r="641" spans="1:34" ht="18" customHeight="1" x14ac:dyDescent="0.25">
      <c r="A641" s="1"/>
      <c r="B641" s="1"/>
      <c r="C641" s="2"/>
      <c r="D641" s="143"/>
      <c r="E641" s="1"/>
      <c r="F641" s="1"/>
      <c r="G641" s="1"/>
      <c r="H641" s="1"/>
      <c r="I641" s="1"/>
      <c r="J641" s="1"/>
      <c r="K641" s="1"/>
      <c r="L641" s="1"/>
      <c r="M641" s="3"/>
      <c r="N641" s="3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</row>
    <row r="642" spans="1:34" ht="18" customHeight="1" x14ac:dyDescent="0.25">
      <c r="A642" s="1"/>
      <c r="B642" s="1"/>
      <c r="C642" s="2"/>
      <c r="D642" s="143"/>
      <c r="E642" s="1"/>
      <c r="F642" s="1"/>
      <c r="G642" s="1"/>
      <c r="H642" s="1"/>
      <c r="I642" s="1"/>
      <c r="J642" s="1"/>
      <c r="K642" s="1"/>
      <c r="L642" s="1"/>
      <c r="M642" s="3"/>
      <c r="N642" s="3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</row>
    <row r="643" spans="1:34" ht="18" customHeight="1" x14ac:dyDescent="0.25">
      <c r="A643" s="1"/>
      <c r="B643" s="1"/>
      <c r="C643" s="2"/>
      <c r="D643" s="143"/>
      <c r="E643" s="1"/>
      <c r="F643" s="1"/>
      <c r="G643" s="1"/>
      <c r="H643" s="1"/>
      <c r="I643" s="1"/>
      <c r="J643" s="1"/>
      <c r="K643" s="1"/>
      <c r="L643" s="1"/>
      <c r="M643" s="3"/>
      <c r="N643" s="3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</row>
    <row r="644" spans="1:34" ht="18" customHeight="1" x14ac:dyDescent="0.25">
      <c r="A644" s="1"/>
      <c r="B644" s="1"/>
      <c r="C644" s="2"/>
      <c r="D644" s="143"/>
      <c r="E644" s="1"/>
      <c r="F644" s="1"/>
      <c r="G644" s="1"/>
      <c r="H644" s="1"/>
      <c r="I644" s="1"/>
      <c r="J644" s="1"/>
      <c r="K644" s="1"/>
      <c r="L644" s="1"/>
      <c r="M644" s="3"/>
      <c r="N644" s="3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</row>
    <row r="645" spans="1:34" ht="18" customHeight="1" x14ac:dyDescent="0.25">
      <c r="A645" s="1"/>
      <c r="B645" s="1"/>
      <c r="C645" s="2"/>
      <c r="D645" s="143"/>
      <c r="E645" s="1"/>
      <c r="F645" s="1"/>
      <c r="G645" s="1"/>
      <c r="H645" s="1"/>
      <c r="I645" s="1"/>
      <c r="J645" s="1"/>
      <c r="K645" s="1"/>
      <c r="L645" s="1"/>
      <c r="M645" s="3"/>
      <c r="N645" s="3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</row>
    <row r="646" spans="1:34" ht="18" customHeight="1" x14ac:dyDescent="0.25">
      <c r="A646" s="1"/>
      <c r="B646" s="1"/>
      <c r="C646" s="2"/>
      <c r="D646" s="143"/>
      <c r="E646" s="1"/>
      <c r="F646" s="1"/>
      <c r="G646" s="1"/>
      <c r="H646" s="1"/>
      <c r="I646" s="1"/>
      <c r="J646" s="1"/>
      <c r="K646" s="1"/>
      <c r="L646" s="1"/>
      <c r="M646" s="3"/>
      <c r="N646" s="3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</row>
    <row r="647" spans="1:34" ht="18" customHeight="1" x14ac:dyDescent="0.25">
      <c r="A647" s="1"/>
      <c r="B647" s="1"/>
      <c r="C647" s="2"/>
      <c r="D647" s="143"/>
      <c r="E647" s="1"/>
      <c r="F647" s="1"/>
      <c r="G647" s="1"/>
      <c r="H647" s="1"/>
      <c r="I647" s="1"/>
      <c r="J647" s="1"/>
      <c r="K647" s="1"/>
      <c r="L647" s="1"/>
      <c r="M647" s="3"/>
      <c r="N647" s="3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</row>
    <row r="648" spans="1:34" ht="18" customHeight="1" x14ac:dyDescent="0.25">
      <c r="A648" s="1"/>
      <c r="B648" s="1"/>
      <c r="C648" s="2"/>
      <c r="D648" s="143"/>
      <c r="E648" s="1"/>
      <c r="F648" s="1"/>
      <c r="G648" s="1"/>
      <c r="H648" s="1"/>
      <c r="I648" s="1"/>
      <c r="J648" s="1"/>
      <c r="K648" s="1"/>
      <c r="L648" s="1"/>
      <c r="M648" s="3"/>
      <c r="N648" s="3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</row>
    <row r="649" spans="1:34" ht="18" customHeight="1" x14ac:dyDescent="0.25">
      <c r="A649" s="1"/>
      <c r="B649" s="1"/>
      <c r="C649" s="2"/>
      <c r="D649" s="143"/>
      <c r="E649" s="1"/>
      <c r="F649" s="1"/>
      <c r="G649" s="1"/>
      <c r="H649" s="1"/>
      <c r="I649" s="1"/>
      <c r="J649" s="1"/>
      <c r="K649" s="1"/>
      <c r="L649" s="1"/>
      <c r="M649" s="3"/>
      <c r="N649" s="3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</row>
    <row r="650" spans="1:34" ht="18" customHeight="1" x14ac:dyDescent="0.25">
      <c r="A650" s="1"/>
      <c r="B650" s="1"/>
      <c r="C650" s="2"/>
      <c r="D650" s="143"/>
      <c r="E650" s="1"/>
      <c r="F650" s="1"/>
      <c r="G650" s="1"/>
      <c r="H650" s="1"/>
      <c r="I650" s="1"/>
      <c r="J650" s="1"/>
      <c r="K650" s="1"/>
      <c r="L650" s="1"/>
      <c r="M650" s="3"/>
      <c r="N650" s="3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</row>
    <row r="651" spans="1:34" ht="18" customHeight="1" x14ac:dyDescent="0.25">
      <c r="A651" s="1"/>
      <c r="B651" s="1"/>
      <c r="C651" s="2"/>
      <c r="D651" s="143"/>
      <c r="E651" s="1"/>
      <c r="F651" s="1"/>
      <c r="G651" s="1"/>
      <c r="H651" s="1"/>
      <c r="I651" s="1"/>
      <c r="J651" s="1"/>
      <c r="K651" s="1"/>
      <c r="L651" s="1"/>
      <c r="M651" s="3"/>
      <c r="N651" s="3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</row>
    <row r="652" spans="1:34" ht="18" customHeight="1" x14ac:dyDescent="0.25">
      <c r="A652" s="1"/>
      <c r="B652" s="1"/>
      <c r="C652" s="2"/>
      <c r="D652" s="143"/>
      <c r="E652" s="1"/>
      <c r="F652" s="1"/>
      <c r="G652" s="1"/>
      <c r="H652" s="1"/>
      <c r="I652" s="1"/>
      <c r="J652" s="1"/>
      <c r="K652" s="1"/>
      <c r="L652" s="1"/>
      <c r="M652" s="3"/>
      <c r="N652" s="3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</row>
    <row r="653" spans="1:34" ht="18" customHeight="1" x14ac:dyDescent="0.25">
      <c r="A653" s="1"/>
      <c r="B653" s="1"/>
      <c r="C653" s="2"/>
      <c r="D653" s="143"/>
      <c r="E653" s="1"/>
      <c r="F653" s="1"/>
      <c r="G653" s="1"/>
      <c r="H653" s="1"/>
      <c r="I653" s="1"/>
      <c r="J653" s="1"/>
      <c r="K653" s="1"/>
      <c r="L653" s="1"/>
      <c r="M653" s="3"/>
      <c r="N653" s="3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</row>
    <row r="654" spans="1:34" ht="18" customHeight="1" x14ac:dyDescent="0.25">
      <c r="A654" s="1"/>
      <c r="B654" s="1"/>
      <c r="C654" s="2"/>
      <c r="D654" s="143"/>
      <c r="E654" s="1"/>
      <c r="F654" s="1"/>
      <c r="G654" s="1"/>
      <c r="H654" s="1"/>
      <c r="I654" s="1"/>
      <c r="J654" s="1"/>
      <c r="K654" s="1"/>
      <c r="L654" s="1"/>
      <c r="M654" s="3"/>
      <c r="N654" s="3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</row>
    <row r="655" spans="1:34" ht="18" customHeight="1" x14ac:dyDescent="0.25">
      <c r="A655" s="1"/>
      <c r="B655" s="1"/>
      <c r="C655" s="2"/>
      <c r="D655" s="143"/>
      <c r="E655" s="1"/>
      <c r="F655" s="1"/>
      <c r="G655" s="1"/>
      <c r="H655" s="1"/>
      <c r="I655" s="1"/>
      <c r="J655" s="1"/>
      <c r="K655" s="1"/>
      <c r="L655" s="1"/>
      <c r="M655" s="3"/>
      <c r="N655" s="3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</row>
    <row r="656" spans="1:34" ht="18" customHeight="1" x14ac:dyDescent="0.25">
      <c r="A656" s="1"/>
      <c r="B656" s="1"/>
      <c r="C656" s="2"/>
      <c r="D656" s="143"/>
      <c r="E656" s="1"/>
      <c r="F656" s="1"/>
      <c r="G656" s="1"/>
      <c r="H656" s="1"/>
      <c r="I656" s="1"/>
      <c r="J656" s="1"/>
      <c r="K656" s="1"/>
      <c r="L656" s="1"/>
      <c r="M656" s="3"/>
      <c r="N656" s="3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</row>
    <row r="657" spans="1:34" ht="18" customHeight="1" x14ac:dyDescent="0.25">
      <c r="A657" s="1"/>
      <c r="B657" s="1"/>
      <c r="C657" s="2"/>
      <c r="D657" s="143"/>
      <c r="E657" s="1"/>
      <c r="F657" s="1"/>
      <c r="G657" s="1"/>
      <c r="H657" s="1"/>
      <c r="I657" s="1"/>
      <c r="J657" s="1"/>
      <c r="K657" s="1"/>
      <c r="L657" s="1"/>
      <c r="M657" s="3"/>
      <c r="N657" s="3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</row>
    <row r="658" spans="1:34" ht="18" customHeight="1" x14ac:dyDescent="0.25">
      <c r="A658" s="1"/>
      <c r="B658" s="1"/>
      <c r="C658" s="2"/>
      <c r="D658" s="143"/>
      <c r="E658" s="1"/>
      <c r="F658" s="1"/>
      <c r="G658" s="1"/>
      <c r="H658" s="1"/>
      <c r="I658" s="1"/>
      <c r="J658" s="1"/>
      <c r="K658" s="1"/>
      <c r="L658" s="1"/>
      <c r="M658" s="3"/>
      <c r="N658" s="3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</row>
    <row r="659" spans="1:34" ht="18" customHeight="1" x14ac:dyDescent="0.25">
      <c r="A659" s="1"/>
      <c r="B659" s="1"/>
      <c r="C659" s="2"/>
      <c r="D659" s="143"/>
      <c r="E659" s="1"/>
      <c r="F659" s="1"/>
      <c r="G659" s="1"/>
      <c r="H659" s="1"/>
      <c r="I659" s="1"/>
      <c r="J659" s="1"/>
      <c r="K659" s="1"/>
      <c r="L659" s="1"/>
      <c r="M659" s="3"/>
      <c r="N659" s="3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</row>
    <row r="660" spans="1:34" ht="18" customHeight="1" x14ac:dyDescent="0.25">
      <c r="A660" s="1"/>
      <c r="B660" s="1"/>
      <c r="C660" s="2"/>
      <c r="D660" s="143"/>
      <c r="E660" s="1"/>
      <c r="F660" s="1"/>
      <c r="G660" s="1"/>
      <c r="H660" s="1"/>
      <c r="I660" s="1"/>
      <c r="J660" s="1"/>
      <c r="K660" s="1"/>
      <c r="L660" s="1"/>
      <c r="M660" s="3"/>
      <c r="N660" s="3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</row>
    <row r="661" spans="1:34" ht="18" customHeight="1" x14ac:dyDescent="0.25">
      <c r="A661" s="1"/>
      <c r="B661" s="1"/>
      <c r="C661" s="2"/>
      <c r="D661" s="143"/>
      <c r="E661" s="1"/>
      <c r="F661" s="1"/>
      <c r="G661" s="1"/>
      <c r="H661" s="1"/>
      <c r="I661" s="1"/>
      <c r="J661" s="1"/>
      <c r="K661" s="1"/>
      <c r="L661" s="1"/>
      <c r="M661" s="3"/>
      <c r="N661" s="3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</row>
    <row r="662" spans="1:34" ht="18" customHeight="1" x14ac:dyDescent="0.25">
      <c r="A662" s="1"/>
      <c r="B662" s="1"/>
      <c r="C662" s="2"/>
      <c r="D662" s="143"/>
      <c r="E662" s="1"/>
      <c r="F662" s="1"/>
      <c r="G662" s="1"/>
      <c r="H662" s="1"/>
      <c r="I662" s="1"/>
      <c r="J662" s="1"/>
      <c r="K662" s="1"/>
      <c r="L662" s="1"/>
      <c r="M662" s="3"/>
      <c r="N662" s="3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</row>
    <row r="663" spans="1:34" ht="18" customHeight="1" x14ac:dyDescent="0.25">
      <c r="A663" s="1"/>
      <c r="B663" s="1"/>
      <c r="C663" s="2"/>
      <c r="D663" s="143"/>
      <c r="E663" s="1"/>
      <c r="F663" s="1"/>
      <c r="G663" s="1"/>
      <c r="H663" s="1"/>
      <c r="I663" s="1"/>
      <c r="J663" s="1"/>
      <c r="K663" s="1"/>
      <c r="L663" s="1"/>
      <c r="M663" s="3"/>
      <c r="N663" s="3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</row>
    <row r="664" spans="1:34" ht="18" customHeight="1" x14ac:dyDescent="0.25">
      <c r="A664" s="1"/>
      <c r="B664" s="1"/>
      <c r="C664" s="2"/>
      <c r="D664" s="143"/>
      <c r="E664" s="1"/>
      <c r="F664" s="1"/>
      <c r="G664" s="1"/>
      <c r="H664" s="1"/>
      <c r="I664" s="1"/>
      <c r="J664" s="1"/>
      <c r="K664" s="1"/>
      <c r="L664" s="1"/>
      <c r="M664" s="3"/>
      <c r="N664" s="3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</row>
    <row r="665" spans="1:34" ht="18" customHeight="1" x14ac:dyDescent="0.25">
      <c r="A665" s="1"/>
      <c r="B665" s="1"/>
      <c r="C665" s="2"/>
      <c r="D665" s="143"/>
      <c r="E665" s="1"/>
      <c r="F665" s="1"/>
      <c r="G665" s="1"/>
      <c r="H665" s="1"/>
      <c r="I665" s="1"/>
      <c r="J665" s="1"/>
      <c r="K665" s="1"/>
      <c r="L665" s="1"/>
      <c r="M665" s="3"/>
      <c r="N665" s="3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</row>
    <row r="666" spans="1:34" ht="18" customHeight="1" x14ac:dyDescent="0.25">
      <c r="A666" s="1"/>
      <c r="B666" s="1"/>
      <c r="C666" s="2"/>
      <c r="D666" s="143"/>
      <c r="E666" s="1"/>
      <c r="F666" s="1"/>
      <c r="G666" s="1"/>
      <c r="H666" s="1"/>
      <c r="I666" s="1"/>
      <c r="J666" s="1"/>
      <c r="K666" s="1"/>
      <c r="L666" s="1"/>
      <c r="M666" s="3"/>
      <c r="N666" s="3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</row>
    <row r="667" spans="1:34" ht="18" customHeight="1" x14ac:dyDescent="0.25">
      <c r="A667" s="1"/>
      <c r="B667" s="1"/>
      <c r="C667" s="2"/>
      <c r="D667" s="143"/>
      <c r="E667" s="1"/>
      <c r="F667" s="1"/>
      <c r="G667" s="1"/>
      <c r="H667" s="1"/>
      <c r="I667" s="1"/>
      <c r="J667" s="1"/>
      <c r="K667" s="1"/>
      <c r="L667" s="1"/>
      <c r="M667" s="3"/>
      <c r="N667" s="3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</row>
    <row r="668" spans="1:34" ht="18" customHeight="1" x14ac:dyDescent="0.25">
      <c r="A668" s="1"/>
      <c r="B668" s="1"/>
      <c r="C668" s="2"/>
      <c r="D668" s="143"/>
      <c r="E668" s="1"/>
      <c r="F668" s="1"/>
      <c r="G668" s="1"/>
      <c r="H668" s="1"/>
      <c r="I668" s="1"/>
      <c r="J668" s="1"/>
      <c r="K668" s="1"/>
      <c r="L668" s="1"/>
      <c r="M668" s="3"/>
      <c r="N668" s="3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</row>
    <row r="669" spans="1:34" ht="18" customHeight="1" x14ac:dyDescent="0.25">
      <c r="A669" s="1"/>
      <c r="B669" s="1"/>
      <c r="C669" s="2"/>
      <c r="D669" s="143"/>
      <c r="E669" s="1"/>
      <c r="F669" s="1"/>
      <c r="G669" s="1"/>
      <c r="H669" s="1"/>
      <c r="I669" s="1"/>
      <c r="J669" s="1"/>
      <c r="K669" s="1"/>
      <c r="L669" s="1"/>
      <c r="M669" s="3"/>
      <c r="N669" s="3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</row>
    <row r="670" spans="1:34" ht="18" customHeight="1" x14ac:dyDescent="0.25">
      <c r="A670" s="1"/>
      <c r="B670" s="1"/>
      <c r="C670" s="2"/>
      <c r="D670" s="143"/>
      <c r="E670" s="1"/>
      <c r="F670" s="1"/>
      <c r="G670" s="1"/>
      <c r="H670" s="1"/>
      <c r="I670" s="1"/>
      <c r="J670" s="1"/>
      <c r="K670" s="1"/>
      <c r="L670" s="1"/>
      <c r="M670" s="3"/>
      <c r="N670" s="3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</row>
    <row r="671" spans="1:34" ht="18" customHeight="1" x14ac:dyDescent="0.25">
      <c r="A671" s="1"/>
      <c r="B671" s="1"/>
      <c r="C671" s="2"/>
      <c r="D671" s="143"/>
      <c r="E671" s="1"/>
      <c r="F671" s="1"/>
      <c r="G671" s="1"/>
      <c r="H671" s="1"/>
      <c r="I671" s="1"/>
      <c r="J671" s="1"/>
      <c r="K671" s="1"/>
      <c r="L671" s="1"/>
      <c r="M671" s="3"/>
      <c r="N671" s="3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</row>
    <row r="672" spans="1:34" ht="18" customHeight="1" x14ac:dyDescent="0.25">
      <c r="A672" s="1"/>
      <c r="B672" s="1"/>
      <c r="C672" s="2"/>
      <c r="D672" s="143"/>
      <c r="E672" s="1"/>
      <c r="F672" s="1"/>
      <c r="G672" s="1"/>
      <c r="H672" s="1"/>
      <c r="I672" s="1"/>
      <c r="J672" s="1"/>
      <c r="K672" s="1"/>
      <c r="L672" s="1"/>
      <c r="M672" s="3"/>
      <c r="N672" s="3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</row>
    <row r="673" spans="1:34" ht="18" customHeight="1" x14ac:dyDescent="0.25">
      <c r="A673" s="1"/>
      <c r="B673" s="1"/>
      <c r="C673" s="2"/>
      <c r="D673" s="143"/>
      <c r="E673" s="1"/>
      <c r="F673" s="1"/>
      <c r="G673" s="1"/>
      <c r="H673" s="1"/>
      <c r="I673" s="1"/>
      <c r="J673" s="1"/>
      <c r="K673" s="1"/>
      <c r="L673" s="1"/>
      <c r="M673" s="3"/>
      <c r="N673" s="3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</row>
    <row r="674" spans="1:34" ht="18" customHeight="1" x14ac:dyDescent="0.25">
      <c r="A674" s="1"/>
      <c r="B674" s="1"/>
      <c r="C674" s="2"/>
      <c r="D674" s="143"/>
      <c r="E674" s="1"/>
      <c r="F674" s="1"/>
      <c r="G674" s="1"/>
      <c r="H674" s="1"/>
      <c r="I674" s="1"/>
      <c r="J674" s="1"/>
      <c r="K674" s="1"/>
      <c r="L674" s="1"/>
      <c r="M674" s="3"/>
      <c r="N674" s="3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</row>
    <row r="675" spans="1:34" ht="18" customHeight="1" x14ac:dyDescent="0.25">
      <c r="A675" s="1"/>
      <c r="B675" s="1"/>
      <c r="C675" s="2"/>
      <c r="D675" s="143"/>
      <c r="E675" s="1"/>
      <c r="F675" s="1"/>
      <c r="G675" s="1"/>
      <c r="H675" s="1"/>
      <c r="I675" s="1"/>
      <c r="J675" s="1"/>
      <c r="K675" s="1"/>
      <c r="L675" s="1"/>
      <c r="M675" s="3"/>
      <c r="N675" s="3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</row>
    <row r="676" spans="1:34" ht="18" customHeight="1" x14ac:dyDescent="0.25">
      <c r="A676" s="1"/>
      <c r="B676" s="1"/>
      <c r="C676" s="2"/>
      <c r="D676" s="143"/>
      <c r="E676" s="1"/>
      <c r="F676" s="1"/>
      <c r="G676" s="1"/>
      <c r="H676" s="1"/>
      <c r="I676" s="1"/>
      <c r="J676" s="1"/>
      <c r="K676" s="1"/>
      <c r="L676" s="1"/>
      <c r="M676" s="3"/>
      <c r="N676" s="3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</row>
    <row r="677" spans="1:34" ht="18" customHeight="1" x14ac:dyDescent="0.25">
      <c r="A677" s="1"/>
      <c r="B677" s="1"/>
      <c r="C677" s="2"/>
      <c r="D677" s="143"/>
      <c r="E677" s="1"/>
      <c r="F677" s="1"/>
      <c r="G677" s="1"/>
      <c r="H677" s="1"/>
      <c r="I677" s="1"/>
      <c r="J677" s="1"/>
      <c r="K677" s="1"/>
      <c r="L677" s="1"/>
      <c r="M677" s="3"/>
      <c r="N677" s="3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</row>
    <row r="678" spans="1:34" ht="18" customHeight="1" x14ac:dyDescent="0.25">
      <c r="A678" s="1"/>
      <c r="B678" s="1"/>
      <c r="C678" s="2"/>
      <c r="D678" s="143"/>
      <c r="E678" s="1"/>
      <c r="F678" s="1"/>
      <c r="G678" s="1"/>
      <c r="H678" s="1"/>
      <c r="I678" s="1"/>
      <c r="J678" s="1"/>
      <c r="K678" s="1"/>
      <c r="L678" s="1"/>
      <c r="M678" s="3"/>
      <c r="N678" s="3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</row>
    <row r="679" spans="1:34" ht="18" customHeight="1" x14ac:dyDescent="0.25">
      <c r="A679" s="1"/>
      <c r="B679" s="1"/>
      <c r="C679" s="2"/>
      <c r="D679" s="143"/>
      <c r="E679" s="1"/>
      <c r="F679" s="1"/>
      <c r="G679" s="1"/>
      <c r="H679" s="1"/>
      <c r="I679" s="1"/>
      <c r="J679" s="1"/>
      <c r="K679" s="1"/>
      <c r="L679" s="1"/>
      <c r="M679" s="3"/>
      <c r="N679" s="3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</row>
    <row r="680" spans="1:34" ht="18" customHeight="1" x14ac:dyDescent="0.25">
      <c r="A680" s="1"/>
      <c r="B680" s="1"/>
      <c r="C680" s="2"/>
      <c r="D680" s="143"/>
      <c r="E680" s="1"/>
      <c r="F680" s="1"/>
      <c r="G680" s="1"/>
      <c r="H680" s="1"/>
      <c r="I680" s="1"/>
      <c r="J680" s="1"/>
      <c r="K680" s="1"/>
      <c r="L680" s="1"/>
      <c r="M680" s="3"/>
      <c r="N680" s="3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</row>
    <row r="681" spans="1:34" ht="18" customHeight="1" x14ac:dyDescent="0.25">
      <c r="A681" s="1"/>
      <c r="B681" s="1"/>
      <c r="C681" s="2"/>
      <c r="D681" s="143"/>
      <c r="E681" s="1"/>
      <c r="F681" s="1"/>
      <c r="G681" s="1"/>
      <c r="H681" s="1"/>
      <c r="I681" s="1"/>
      <c r="J681" s="1"/>
      <c r="K681" s="1"/>
      <c r="L681" s="1"/>
      <c r="M681" s="3"/>
      <c r="N681" s="3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</row>
    <row r="682" spans="1:34" ht="18" customHeight="1" x14ac:dyDescent="0.25">
      <c r="A682" s="1"/>
      <c r="B682" s="1"/>
      <c r="C682" s="2"/>
      <c r="D682" s="143"/>
      <c r="E682" s="1"/>
      <c r="F682" s="1"/>
      <c r="G682" s="1"/>
      <c r="H682" s="1"/>
      <c r="I682" s="1"/>
      <c r="J682" s="1"/>
      <c r="K682" s="1"/>
      <c r="L682" s="1"/>
      <c r="M682" s="3"/>
      <c r="N682" s="3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</row>
    <row r="683" spans="1:34" ht="18" customHeight="1" x14ac:dyDescent="0.25">
      <c r="A683" s="1"/>
      <c r="B683" s="1"/>
      <c r="C683" s="2"/>
      <c r="D683" s="143"/>
      <c r="E683" s="1"/>
      <c r="F683" s="1"/>
      <c r="G683" s="1"/>
      <c r="H683" s="1"/>
      <c r="I683" s="1"/>
      <c r="J683" s="1"/>
      <c r="K683" s="1"/>
      <c r="L683" s="1"/>
      <c r="M683" s="3"/>
      <c r="N683" s="3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</row>
    <row r="684" spans="1:34" ht="18" customHeight="1" x14ac:dyDescent="0.25">
      <c r="A684" s="1"/>
      <c r="B684" s="1"/>
      <c r="C684" s="2"/>
      <c r="D684" s="143"/>
      <c r="E684" s="1"/>
      <c r="F684" s="1"/>
      <c r="G684" s="1"/>
      <c r="H684" s="1"/>
      <c r="I684" s="1"/>
      <c r="J684" s="1"/>
      <c r="K684" s="1"/>
      <c r="L684" s="1"/>
      <c r="M684" s="3"/>
      <c r="N684" s="3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</row>
    <row r="685" spans="1:34" ht="18" customHeight="1" x14ac:dyDescent="0.25">
      <c r="A685" s="1"/>
      <c r="B685" s="1"/>
      <c r="C685" s="2"/>
      <c r="D685" s="143"/>
      <c r="E685" s="1"/>
      <c r="F685" s="1"/>
      <c r="G685" s="1"/>
      <c r="H685" s="1"/>
      <c r="I685" s="1"/>
      <c r="J685" s="1"/>
      <c r="K685" s="1"/>
      <c r="L685" s="1"/>
      <c r="M685" s="3"/>
      <c r="N685" s="3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</row>
    <row r="686" spans="1:34" ht="18" customHeight="1" x14ac:dyDescent="0.25">
      <c r="A686" s="1"/>
      <c r="B686" s="1"/>
      <c r="C686" s="2"/>
      <c r="D686" s="143"/>
      <c r="E686" s="1"/>
      <c r="F686" s="1"/>
      <c r="G686" s="1"/>
      <c r="H686" s="1"/>
      <c r="I686" s="1"/>
      <c r="J686" s="1"/>
      <c r="K686" s="1"/>
      <c r="L686" s="1"/>
      <c r="M686" s="3"/>
      <c r="N686" s="3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</row>
    <row r="687" spans="1:34" ht="18" customHeight="1" x14ac:dyDescent="0.25">
      <c r="A687" s="1"/>
      <c r="B687" s="1"/>
      <c r="C687" s="2"/>
      <c r="D687" s="143"/>
      <c r="E687" s="1"/>
      <c r="F687" s="1"/>
      <c r="G687" s="1"/>
      <c r="H687" s="1"/>
      <c r="I687" s="1"/>
      <c r="J687" s="1"/>
      <c r="K687" s="1"/>
      <c r="L687" s="1"/>
      <c r="M687" s="3"/>
      <c r="N687" s="3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</row>
    <row r="688" spans="1:34" ht="18" customHeight="1" x14ac:dyDescent="0.25">
      <c r="A688" s="1"/>
      <c r="B688" s="1"/>
      <c r="C688" s="2"/>
      <c r="D688" s="143"/>
      <c r="E688" s="1"/>
      <c r="F688" s="1"/>
      <c r="G688" s="1"/>
      <c r="H688" s="1"/>
      <c r="I688" s="1"/>
      <c r="J688" s="1"/>
      <c r="K688" s="1"/>
      <c r="L688" s="1"/>
      <c r="M688" s="3"/>
      <c r="N688" s="3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</row>
    <row r="689" spans="1:34" ht="18" customHeight="1" x14ac:dyDescent="0.25">
      <c r="A689" s="1"/>
      <c r="B689" s="1"/>
      <c r="C689" s="2"/>
      <c r="D689" s="143"/>
      <c r="E689" s="1"/>
      <c r="F689" s="1"/>
      <c r="G689" s="1"/>
      <c r="H689" s="1"/>
      <c r="I689" s="1"/>
      <c r="J689" s="1"/>
      <c r="K689" s="1"/>
      <c r="L689" s="1"/>
      <c r="M689" s="3"/>
      <c r="N689" s="3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</row>
    <row r="690" spans="1:34" ht="18" customHeight="1" x14ac:dyDescent="0.25">
      <c r="A690" s="1"/>
      <c r="B690" s="1"/>
      <c r="C690" s="2"/>
      <c r="D690" s="143"/>
      <c r="E690" s="1"/>
      <c r="F690" s="1"/>
      <c r="G690" s="1"/>
      <c r="H690" s="1"/>
      <c r="I690" s="1"/>
      <c r="J690" s="1"/>
      <c r="K690" s="1"/>
      <c r="L690" s="1"/>
      <c r="M690" s="3"/>
      <c r="N690" s="3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</row>
    <row r="691" spans="1:34" ht="18" customHeight="1" x14ac:dyDescent="0.25">
      <c r="A691" s="1"/>
      <c r="B691" s="1"/>
      <c r="C691" s="2"/>
      <c r="D691" s="143"/>
      <c r="E691" s="1"/>
      <c r="F691" s="1"/>
      <c r="G691" s="1"/>
      <c r="H691" s="1"/>
      <c r="I691" s="1"/>
      <c r="J691" s="1"/>
      <c r="K691" s="1"/>
      <c r="L691" s="1"/>
      <c r="M691" s="3"/>
      <c r="N691" s="3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</row>
    <row r="692" spans="1:34" ht="18" customHeight="1" x14ac:dyDescent="0.25">
      <c r="A692" s="1"/>
      <c r="B692" s="1"/>
      <c r="C692" s="2"/>
      <c r="D692" s="143"/>
      <c r="E692" s="1"/>
      <c r="F692" s="1"/>
      <c r="G692" s="1"/>
      <c r="H692" s="1"/>
      <c r="I692" s="1"/>
      <c r="J692" s="1"/>
      <c r="K692" s="1"/>
      <c r="L692" s="1"/>
      <c r="M692" s="3"/>
      <c r="N692" s="3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</row>
    <row r="693" spans="1:34" ht="18" customHeight="1" x14ac:dyDescent="0.25">
      <c r="A693" s="1"/>
      <c r="B693" s="1"/>
      <c r="C693" s="2"/>
      <c r="D693" s="143"/>
      <c r="E693" s="1"/>
      <c r="F693" s="1"/>
      <c r="G693" s="1"/>
      <c r="H693" s="1"/>
      <c r="I693" s="1"/>
      <c r="J693" s="1"/>
      <c r="K693" s="1"/>
      <c r="L693" s="1"/>
      <c r="M693" s="3"/>
      <c r="N693" s="3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</row>
    <row r="694" spans="1:34" ht="18" customHeight="1" x14ac:dyDescent="0.25">
      <c r="A694" s="1"/>
      <c r="B694" s="1"/>
      <c r="C694" s="2"/>
      <c r="D694" s="143"/>
      <c r="E694" s="1"/>
      <c r="F694" s="1"/>
      <c r="G694" s="1"/>
      <c r="H694" s="1"/>
      <c r="I694" s="1"/>
      <c r="J694" s="1"/>
      <c r="K694" s="1"/>
      <c r="L694" s="1"/>
      <c r="M694" s="3"/>
      <c r="N694" s="3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</row>
    <row r="695" spans="1:34" ht="18" customHeight="1" x14ac:dyDescent="0.25">
      <c r="A695" s="1"/>
      <c r="B695" s="1"/>
      <c r="C695" s="2"/>
      <c r="D695" s="143"/>
      <c r="E695" s="1"/>
      <c r="F695" s="1"/>
      <c r="G695" s="1"/>
      <c r="H695" s="1"/>
      <c r="I695" s="1"/>
      <c r="J695" s="1"/>
      <c r="K695" s="1"/>
      <c r="L695" s="1"/>
      <c r="M695" s="3"/>
      <c r="N695" s="3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</row>
    <row r="696" spans="1:34" ht="18" customHeight="1" x14ac:dyDescent="0.25">
      <c r="A696" s="1"/>
      <c r="B696" s="1"/>
      <c r="C696" s="2"/>
      <c r="D696" s="143"/>
      <c r="E696" s="1"/>
      <c r="F696" s="1"/>
      <c r="G696" s="1"/>
      <c r="H696" s="1"/>
      <c r="I696" s="1"/>
      <c r="J696" s="1"/>
      <c r="K696" s="1"/>
      <c r="L696" s="1"/>
      <c r="M696" s="3"/>
      <c r="N696" s="3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</row>
    <row r="697" spans="1:34" ht="18" customHeight="1" x14ac:dyDescent="0.25">
      <c r="A697" s="1"/>
      <c r="B697" s="1"/>
      <c r="C697" s="2"/>
      <c r="D697" s="143"/>
      <c r="E697" s="1"/>
      <c r="F697" s="1"/>
      <c r="G697" s="1"/>
      <c r="H697" s="1"/>
      <c r="I697" s="1"/>
      <c r="J697" s="1"/>
      <c r="K697" s="1"/>
      <c r="L697" s="1"/>
      <c r="M697" s="3"/>
      <c r="N697" s="3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</row>
    <row r="698" spans="1:34" ht="18" customHeight="1" x14ac:dyDescent="0.25">
      <c r="A698" s="1"/>
      <c r="B698" s="1"/>
      <c r="C698" s="2"/>
      <c r="D698" s="143"/>
      <c r="E698" s="1"/>
      <c r="F698" s="1"/>
      <c r="G698" s="1"/>
      <c r="H698" s="1"/>
      <c r="I698" s="1"/>
      <c r="J698" s="1"/>
      <c r="K698" s="1"/>
      <c r="L698" s="1"/>
      <c r="M698" s="3"/>
      <c r="N698" s="3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</row>
    <row r="699" spans="1:34" ht="18" customHeight="1" x14ac:dyDescent="0.25">
      <c r="A699" s="1"/>
      <c r="B699" s="1"/>
      <c r="C699" s="2"/>
      <c r="D699" s="143"/>
      <c r="E699" s="1"/>
      <c r="F699" s="1"/>
      <c r="G699" s="1"/>
      <c r="H699" s="1"/>
      <c r="I699" s="1"/>
      <c r="J699" s="1"/>
      <c r="K699" s="1"/>
      <c r="L699" s="1"/>
      <c r="M699" s="3"/>
      <c r="N699" s="3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</row>
    <row r="700" spans="1:34" ht="18" customHeight="1" x14ac:dyDescent="0.25">
      <c r="A700" s="1"/>
      <c r="B700" s="1"/>
      <c r="C700" s="2"/>
      <c r="D700" s="143"/>
      <c r="E700" s="1"/>
      <c r="F700" s="1"/>
      <c r="G700" s="1"/>
      <c r="H700" s="1"/>
      <c r="I700" s="1"/>
      <c r="J700" s="1"/>
      <c r="K700" s="1"/>
      <c r="L700" s="1"/>
      <c r="M700" s="3"/>
      <c r="N700" s="3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</row>
    <row r="701" spans="1:34" ht="18" customHeight="1" x14ac:dyDescent="0.25">
      <c r="A701" s="1"/>
      <c r="B701" s="1"/>
      <c r="C701" s="2"/>
      <c r="D701" s="143"/>
      <c r="E701" s="1"/>
      <c r="F701" s="1"/>
      <c r="G701" s="1"/>
      <c r="H701" s="1"/>
      <c r="I701" s="1"/>
      <c r="J701" s="1"/>
      <c r="K701" s="1"/>
      <c r="L701" s="1"/>
      <c r="M701" s="3"/>
      <c r="N701" s="3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</row>
    <row r="702" spans="1:34" ht="18" customHeight="1" x14ac:dyDescent="0.25">
      <c r="A702" s="1"/>
      <c r="B702" s="1"/>
      <c r="C702" s="2"/>
      <c r="D702" s="143"/>
      <c r="E702" s="1"/>
      <c r="F702" s="1"/>
      <c r="G702" s="1"/>
      <c r="H702" s="1"/>
      <c r="I702" s="1"/>
      <c r="J702" s="1"/>
      <c r="K702" s="1"/>
      <c r="L702" s="1"/>
      <c r="M702" s="3"/>
      <c r="N702" s="3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</row>
    <row r="703" spans="1:34" ht="18" customHeight="1" x14ac:dyDescent="0.25">
      <c r="A703" s="1"/>
      <c r="B703" s="1"/>
      <c r="C703" s="2"/>
      <c r="D703" s="143"/>
      <c r="E703" s="1"/>
      <c r="F703" s="1"/>
      <c r="G703" s="1"/>
      <c r="H703" s="1"/>
      <c r="I703" s="1"/>
      <c r="J703" s="1"/>
      <c r="K703" s="1"/>
      <c r="L703" s="1"/>
      <c r="M703" s="3"/>
      <c r="N703" s="3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</row>
    <row r="704" spans="1:34" ht="18" customHeight="1" x14ac:dyDescent="0.25">
      <c r="A704" s="1"/>
      <c r="B704" s="1"/>
      <c r="C704" s="2"/>
      <c r="D704" s="143"/>
      <c r="E704" s="1"/>
      <c r="F704" s="1"/>
      <c r="G704" s="1"/>
      <c r="H704" s="1"/>
      <c r="I704" s="1"/>
      <c r="J704" s="1"/>
      <c r="K704" s="1"/>
      <c r="L704" s="1"/>
      <c r="M704" s="3"/>
      <c r="N704" s="3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</row>
    <row r="705" spans="1:34" ht="18" customHeight="1" x14ac:dyDescent="0.25">
      <c r="A705" s="1"/>
      <c r="B705" s="1"/>
      <c r="C705" s="2"/>
      <c r="D705" s="143"/>
      <c r="E705" s="1"/>
      <c r="F705" s="1"/>
      <c r="G705" s="1"/>
      <c r="H705" s="1"/>
      <c r="I705" s="1"/>
      <c r="J705" s="1"/>
      <c r="K705" s="1"/>
      <c r="L705" s="1"/>
      <c r="M705" s="3"/>
      <c r="N705" s="3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</row>
    <row r="706" spans="1:34" ht="18" customHeight="1" x14ac:dyDescent="0.25">
      <c r="A706" s="1"/>
      <c r="B706" s="1"/>
      <c r="C706" s="2"/>
      <c r="D706" s="143"/>
      <c r="E706" s="1"/>
      <c r="F706" s="1"/>
      <c r="G706" s="1"/>
      <c r="H706" s="1"/>
      <c r="I706" s="1"/>
      <c r="J706" s="1"/>
      <c r="K706" s="1"/>
      <c r="L706" s="1"/>
      <c r="M706" s="3"/>
      <c r="N706" s="3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</row>
    <row r="707" spans="1:34" ht="18" customHeight="1" x14ac:dyDescent="0.25">
      <c r="A707" s="1"/>
      <c r="B707" s="1"/>
      <c r="C707" s="2"/>
      <c r="D707" s="143"/>
      <c r="E707" s="1"/>
      <c r="F707" s="1"/>
      <c r="G707" s="1"/>
      <c r="H707" s="1"/>
      <c r="I707" s="1"/>
      <c r="J707" s="1"/>
      <c r="K707" s="1"/>
      <c r="L707" s="1"/>
      <c r="M707" s="3"/>
      <c r="N707" s="3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</row>
    <row r="708" spans="1:34" ht="18" customHeight="1" x14ac:dyDescent="0.25">
      <c r="A708" s="1"/>
      <c r="B708" s="1"/>
      <c r="C708" s="2"/>
      <c r="D708" s="143"/>
      <c r="E708" s="1"/>
      <c r="F708" s="1"/>
      <c r="G708" s="1"/>
      <c r="H708" s="1"/>
      <c r="I708" s="1"/>
      <c r="J708" s="1"/>
      <c r="K708" s="1"/>
      <c r="L708" s="1"/>
      <c r="M708" s="3"/>
      <c r="N708" s="3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</row>
    <row r="709" spans="1:34" ht="18" customHeight="1" x14ac:dyDescent="0.25">
      <c r="A709" s="1"/>
      <c r="B709" s="1"/>
      <c r="C709" s="2"/>
      <c r="D709" s="143"/>
      <c r="E709" s="1"/>
      <c r="F709" s="1"/>
      <c r="G709" s="1"/>
      <c r="H709" s="1"/>
      <c r="I709" s="1"/>
      <c r="J709" s="1"/>
      <c r="K709" s="1"/>
      <c r="L709" s="1"/>
      <c r="M709" s="3"/>
      <c r="N709" s="3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</row>
    <row r="710" spans="1:34" ht="18" customHeight="1" x14ac:dyDescent="0.25">
      <c r="A710" s="1"/>
      <c r="B710" s="1"/>
      <c r="C710" s="2"/>
      <c r="D710" s="143"/>
      <c r="E710" s="1"/>
      <c r="F710" s="1"/>
      <c r="G710" s="1"/>
      <c r="H710" s="1"/>
      <c r="I710" s="1"/>
      <c r="J710" s="1"/>
      <c r="K710" s="1"/>
      <c r="L710" s="1"/>
      <c r="M710" s="3"/>
      <c r="N710" s="3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</row>
    <row r="711" spans="1:34" ht="18" customHeight="1" x14ac:dyDescent="0.25">
      <c r="A711" s="1"/>
      <c r="B711" s="1"/>
      <c r="C711" s="2"/>
      <c r="D711" s="143"/>
      <c r="E711" s="1"/>
      <c r="F711" s="1"/>
      <c r="G711" s="1"/>
      <c r="H711" s="1"/>
      <c r="I711" s="1"/>
      <c r="J711" s="1"/>
      <c r="K711" s="1"/>
      <c r="L711" s="1"/>
      <c r="M711" s="3"/>
      <c r="N711" s="3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</row>
    <row r="712" spans="1:34" ht="18" customHeight="1" x14ac:dyDescent="0.25">
      <c r="A712" s="1"/>
      <c r="B712" s="1"/>
      <c r="C712" s="2"/>
      <c r="D712" s="143"/>
      <c r="E712" s="1"/>
      <c r="F712" s="1"/>
      <c r="G712" s="1"/>
      <c r="H712" s="1"/>
      <c r="I712" s="1"/>
      <c r="J712" s="1"/>
      <c r="K712" s="1"/>
      <c r="L712" s="1"/>
      <c r="M712" s="3"/>
      <c r="N712" s="3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</row>
    <row r="713" spans="1:34" ht="18" customHeight="1" x14ac:dyDescent="0.25">
      <c r="A713" s="1"/>
      <c r="B713" s="1"/>
      <c r="C713" s="2"/>
      <c r="D713" s="143"/>
      <c r="E713" s="1"/>
      <c r="F713" s="1"/>
      <c r="G713" s="1"/>
      <c r="H713" s="1"/>
      <c r="I713" s="1"/>
      <c r="J713" s="1"/>
      <c r="K713" s="1"/>
      <c r="L713" s="1"/>
      <c r="M713" s="3"/>
      <c r="N713" s="3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</row>
    <row r="714" spans="1:34" ht="18" customHeight="1" x14ac:dyDescent="0.25">
      <c r="A714" s="1"/>
      <c r="B714" s="1"/>
      <c r="C714" s="2"/>
      <c r="D714" s="143"/>
      <c r="E714" s="1"/>
      <c r="F714" s="1"/>
      <c r="G714" s="1"/>
      <c r="H714" s="1"/>
      <c r="I714" s="1"/>
      <c r="J714" s="1"/>
      <c r="K714" s="1"/>
      <c r="L714" s="1"/>
      <c r="M714" s="3"/>
      <c r="N714" s="3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</row>
    <row r="715" spans="1:34" ht="18" customHeight="1" x14ac:dyDescent="0.25">
      <c r="A715" s="1"/>
      <c r="B715" s="1"/>
      <c r="C715" s="2"/>
      <c r="D715" s="143"/>
      <c r="E715" s="1"/>
      <c r="F715" s="1"/>
      <c r="G715" s="1"/>
      <c r="H715" s="1"/>
      <c r="I715" s="1"/>
      <c r="J715" s="1"/>
      <c r="K715" s="1"/>
      <c r="L715" s="1"/>
      <c r="M715" s="3"/>
      <c r="N715" s="3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</row>
    <row r="716" spans="1:34" ht="18" customHeight="1" x14ac:dyDescent="0.25">
      <c r="A716" s="1"/>
      <c r="B716" s="1"/>
      <c r="C716" s="2"/>
      <c r="D716" s="143"/>
      <c r="E716" s="1"/>
      <c r="F716" s="1"/>
      <c r="G716" s="1"/>
      <c r="H716" s="1"/>
      <c r="I716" s="1"/>
      <c r="J716" s="1"/>
      <c r="K716" s="1"/>
      <c r="L716" s="1"/>
      <c r="M716" s="3"/>
      <c r="N716" s="3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</row>
    <row r="717" spans="1:34" ht="18" customHeight="1" x14ac:dyDescent="0.25">
      <c r="A717" s="1"/>
      <c r="B717" s="1"/>
      <c r="C717" s="2"/>
      <c r="D717" s="143"/>
      <c r="E717" s="1"/>
      <c r="F717" s="1"/>
      <c r="G717" s="1"/>
      <c r="H717" s="1"/>
      <c r="I717" s="1"/>
      <c r="J717" s="1"/>
      <c r="K717" s="1"/>
      <c r="L717" s="1"/>
      <c r="M717" s="3"/>
      <c r="N717" s="3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</row>
    <row r="718" spans="1:34" ht="18" customHeight="1" x14ac:dyDescent="0.25">
      <c r="A718" s="1"/>
      <c r="B718" s="1"/>
      <c r="C718" s="2"/>
      <c r="D718" s="143"/>
      <c r="E718" s="1"/>
      <c r="F718" s="1"/>
      <c r="G718" s="1"/>
      <c r="H718" s="1"/>
      <c r="I718" s="1"/>
      <c r="J718" s="1"/>
      <c r="K718" s="1"/>
      <c r="L718" s="1"/>
      <c r="M718" s="3"/>
      <c r="N718" s="3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</row>
    <row r="719" spans="1:34" ht="18" customHeight="1" x14ac:dyDescent="0.25">
      <c r="A719" s="1"/>
      <c r="B719" s="1"/>
      <c r="C719" s="2"/>
      <c r="D719" s="143"/>
      <c r="E719" s="1"/>
      <c r="F719" s="1"/>
      <c r="G719" s="1"/>
      <c r="H719" s="1"/>
      <c r="I719" s="1"/>
      <c r="J719" s="1"/>
      <c r="K719" s="1"/>
      <c r="L719" s="1"/>
      <c r="M719" s="3"/>
      <c r="N719" s="3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</row>
    <row r="720" spans="1:34" ht="18" customHeight="1" x14ac:dyDescent="0.25">
      <c r="A720" s="1"/>
      <c r="B720" s="1"/>
      <c r="C720" s="2"/>
      <c r="D720" s="143"/>
      <c r="E720" s="1"/>
      <c r="F720" s="1"/>
      <c r="G720" s="1"/>
      <c r="H720" s="1"/>
      <c r="I720" s="1"/>
      <c r="J720" s="1"/>
      <c r="K720" s="1"/>
      <c r="L720" s="1"/>
      <c r="M720" s="3"/>
      <c r="N720" s="3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</row>
    <row r="721" spans="1:34" ht="18" customHeight="1" x14ac:dyDescent="0.25">
      <c r="A721" s="1"/>
      <c r="B721" s="1"/>
      <c r="C721" s="2"/>
      <c r="D721" s="143"/>
      <c r="E721" s="1"/>
      <c r="F721" s="1"/>
      <c r="G721" s="1"/>
      <c r="H721" s="1"/>
      <c r="I721" s="1"/>
      <c r="J721" s="1"/>
      <c r="K721" s="1"/>
      <c r="L721" s="1"/>
      <c r="M721" s="3"/>
      <c r="N721" s="3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</row>
    <row r="722" spans="1:34" ht="18" customHeight="1" x14ac:dyDescent="0.25">
      <c r="A722" s="1"/>
      <c r="B722" s="1"/>
      <c r="C722" s="2"/>
      <c r="D722" s="143"/>
      <c r="E722" s="1"/>
      <c r="F722" s="1"/>
      <c r="G722" s="1"/>
      <c r="H722" s="1"/>
      <c r="I722" s="1"/>
      <c r="J722" s="1"/>
      <c r="K722" s="1"/>
      <c r="L722" s="1"/>
      <c r="M722" s="3"/>
      <c r="N722" s="3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</row>
    <row r="723" spans="1:34" ht="18" customHeight="1" x14ac:dyDescent="0.25">
      <c r="A723" s="1"/>
      <c r="B723" s="1"/>
      <c r="C723" s="2"/>
      <c r="D723" s="143"/>
      <c r="E723" s="1"/>
      <c r="F723" s="1"/>
      <c r="G723" s="1"/>
      <c r="H723" s="1"/>
      <c r="I723" s="1"/>
      <c r="J723" s="1"/>
      <c r="K723" s="1"/>
      <c r="L723" s="1"/>
      <c r="M723" s="3"/>
      <c r="N723" s="3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</row>
    <row r="724" spans="1:34" ht="18" customHeight="1" x14ac:dyDescent="0.25">
      <c r="A724" s="1"/>
      <c r="B724" s="1"/>
      <c r="C724" s="2"/>
      <c r="D724" s="143"/>
      <c r="E724" s="1"/>
      <c r="F724" s="1"/>
      <c r="G724" s="1"/>
      <c r="H724" s="1"/>
      <c r="I724" s="1"/>
      <c r="J724" s="1"/>
      <c r="K724" s="1"/>
      <c r="L724" s="1"/>
      <c r="M724" s="3"/>
      <c r="N724" s="3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</row>
    <row r="725" spans="1:34" ht="18" customHeight="1" x14ac:dyDescent="0.25">
      <c r="A725" s="1"/>
      <c r="B725" s="1"/>
      <c r="C725" s="2"/>
      <c r="D725" s="143"/>
      <c r="E725" s="1"/>
      <c r="F725" s="1"/>
      <c r="G725" s="1"/>
      <c r="H725" s="1"/>
      <c r="I725" s="1"/>
      <c r="J725" s="1"/>
      <c r="K725" s="1"/>
      <c r="L725" s="1"/>
      <c r="M725" s="3"/>
      <c r="N725" s="3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</row>
    <row r="726" spans="1:34" ht="18" customHeight="1" x14ac:dyDescent="0.25">
      <c r="A726" s="1"/>
      <c r="B726" s="1"/>
      <c r="C726" s="2"/>
      <c r="D726" s="143"/>
      <c r="E726" s="1"/>
      <c r="F726" s="1"/>
      <c r="G726" s="1"/>
      <c r="H726" s="1"/>
      <c r="I726" s="1"/>
      <c r="J726" s="1"/>
      <c r="K726" s="1"/>
      <c r="L726" s="1"/>
      <c r="M726" s="3"/>
      <c r="N726" s="3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</row>
    <row r="727" spans="1:34" ht="18" customHeight="1" x14ac:dyDescent="0.25">
      <c r="A727" s="1"/>
      <c r="B727" s="1"/>
      <c r="C727" s="2"/>
      <c r="D727" s="143"/>
      <c r="E727" s="1"/>
      <c r="F727" s="1"/>
      <c r="G727" s="1"/>
      <c r="H727" s="1"/>
      <c r="I727" s="1"/>
      <c r="J727" s="1"/>
      <c r="K727" s="1"/>
      <c r="L727" s="1"/>
      <c r="M727" s="3"/>
      <c r="N727" s="3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</row>
    <row r="728" spans="1:34" ht="18" customHeight="1" x14ac:dyDescent="0.25">
      <c r="A728" s="1"/>
      <c r="B728" s="1"/>
      <c r="C728" s="2"/>
      <c r="D728" s="143"/>
      <c r="E728" s="1"/>
      <c r="F728" s="1"/>
      <c r="G728" s="1"/>
      <c r="H728" s="1"/>
      <c r="I728" s="1"/>
      <c r="J728" s="1"/>
      <c r="K728" s="1"/>
      <c r="L728" s="1"/>
      <c r="M728" s="3"/>
      <c r="N728" s="3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</row>
    <row r="729" spans="1:34" ht="18" customHeight="1" x14ac:dyDescent="0.25">
      <c r="A729" s="1"/>
      <c r="B729" s="1"/>
      <c r="C729" s="2"/>
      <c r="D729" s="143"/>
      <c r="E729" s="1"/>
      <c r="F729" s="1"/>
      <c r="G729" s="1"/>
      <c r="H729" s="1"/>
      <c r="I729" s="1"/>
      <c r="J729" s="1"/>
      <c r="K729" s="1"/>
      <c r="L729" s="1"/>
      <c r="M729" s="3"/>
      <c r="N729" s="3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</row>
    <row r="730" spans="1:34" ht="18" customHeight="1" x14ac:dyDescent="0.25">
      <c r="A730" s="1"/>
      <c r="B730" s="1"/>
      <c r="C730" s="2"/>
      <c r="D730" s="143"/>
      <c r="E730" s="1"/>
      <c r="F730" s="1"/>
      <c r="G730" s="1"/>
      <c r="H730" s="1"/>
      <c r="I730" s="1"/>
      <c r="J730" s="1"/>
      <c r="K730" s="1"/>
      <c r="L730" s="1"/>
      <c r="M730" s="3"/>
      <c r="N730" s="3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</row>
    <row r="731" spans="1:34" ht="18" customHeight="1" x14ac:dyDescent="0.25">
      <c r="A731" s="1"/>
      <c r="B731" s="1"/>
      <c r="C731" s="2"/>
      <c r="D731" s="143"/>
      <c r="E731" s="1"/>
      <c r="F731" s="1"/>
      <c r="G731" s="1"/>
      <c r="H731" s="1"/>
      <c r="I731" s="1"/>
      <c r="J731" s="1"/>
      <c r="K731" s="1"/>
      <c r="L731" s="1"/>
      <c r="M731" s="3"/>
      <c r="N731" s="3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</row>
    <row r="732" spans="1:34" ht="18" customHeight="1" x14ac:dyDescent="0.25">
      <c r="A732" s="1"/>
      <c r="B732" s="1"/>
      <c r="C732" s="2"/>
      <c r="D732" s="143"/>
      <c r="E732" s="1"/>
      <c r="F732" s="1"/>
      <c r="G732" s="1"/>
      <c r="H732" s="1"/>
      <c r="I732" s="1"/>
      <c r="J732" s="1"/>
      <c r="K732" s="1"/>
      <c r="L732" s="1"/>
      <c r="M732" s="3"/>
      <c r="N732" s="3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</row>
    <row r="733" spans="1:34" ht="18" customHeight="1" x14ac:dyDescent="0.25">
      <c r="A733" s="1"/>
      <c r="B733" s="1"/>
      <c r="C733" s="2"/>
      <c r="D733" s="143"/>
      <c r="E733" s="1"/>
      <c r="F733" s="1"/>
      <c r="G733" s="1"/>
      <c r="H733" s="1"/>
      <c r="I733" s="1"/>
      <c r="J733" s="1"/>
      <c r="K733" s="1"/>
      <c r="L733" s="1"/>
      <c r="M733" s="3"/>
      <c r="N733" s="3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</row>
    <row r="734" spans="1:34" ht="18" customHeight="1" x14ac:dyDescent="0.25">
      <c r="A734" s="1"/>
      <c r="B734" s="1"/>
      <c r="C734" s="2"/>
      <c r="D734" s="143"/>
      <c r="E734" s="1"/>
      <c r="F734" s="1"/>
      <c r="G734" s="1"/>
      <c r="H734" s="1"/>
      <c r="I734" s="1"/>
      <c r="J734" s="1"/>
      <c r="K734" s="1"/>
      <c r="L734" s="1"/>
      <c r="M734" s="3"/>
      <c r="N734" s="3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</row>
    <row r="735" spans="1:34" ht="18" customHeight="1" x14ac:dyDescent="0.25">
      <c r="A735" s="1"/>
      <c r="B735" s="1"/>
      <c r="C735" s="2"/>
      <c r="D735" s="143"/>
      <c r="E735" s="1"/>
      <c r="F735" s="1"/>
      <c r="G735" s="1"/>
      <c r="H735" s="1"/>
      <c r="I735" s="1"/>
      <c r="J735" s="1"/>
      <c r="K735" s="1"/>
      <c r="L735" s="1"/>
      <c r="M735" s="3"/>
      <c r="N735" s="3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</row>
    <row r="736" spans="1:34" ht="18" customHeight="1" x14ac:dyDescent="0.25">
      <c r="A736" s="1"/>
      <c r="B736" s="1"/>
      <c r="C736" s="2"/>
      <c r="D736" s="143"/>
      <c r="E736" s="1"/>
      <c r="F736" s="1"/>
      <c r="G736" s="1"/>
      <c r="H736" s="1"/>
      <c r="I736" s="1"/>
      <c r="J736" s="1"/>
      <c r="K736" s="1"/>
      <c r="L736" s="1"/>
      <c r="M736" s="3"/>
      <c r="N736" s="3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</row>
    <row r="737" spans="1:34" ht="18" customHeight="1" x14ac:dyDescent="0.25">
      <c r="A737" s="1"/>
      <c r="B737" s="1"/>
      <c r="C737" s="2"/>
      <c r="D737" s="143"/>
      <c r="E737" s="1"/>
      <c r="F737" s="1"/>
      <c r="G737" s="1"/>
      <c r="H737" s="1"/>
      <c r="I737" s="1"/>
      <c r="J737" s="1"/>
      <c r="K737" s="1"/>
      <c r="L737" s="1"/>
      <c r="M737" s="3"/>
      <c r="N737" s="3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</row>
    <row r="738" spans="1:34" ht="18" customHeight="1" x14ac:dyDescent="0.25">
      <c r="A738" s="1"/>
      <c r="B738" s="1"/>
      <c r="C738" s="2"/>
      <c r="D738" s="143"/>
      <c r="E738" s="1"/>
      <c r="F738" s="1"/>
      <c r="G738" s="1"/>
      <c r="H738" s="1"/>
      <c r="I738" s="1"/>
      <c r="J738" s="1"/>
      <c r="K738" s="1"/>
      <c r="L738" s="1"/>
      <c r="M738" s="3"/>
      <c r="N738" s="3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</row>
    <row r="739" spans="1:34" ht="18" customHeight="1" x14ac:dyDescent="0.25">
      <c r="A739" s="1"/>
      <c r="B739" s="1"/>
      <c r="C739" s="2"/>
      <c r="D739" s="143"/>
      <c r="E739" s="1"/>
      <c r="F739" s="1"/>
      <c r="G739" s="1"/>
      <c r="H739" s="1"/>
      <c r="I739" s="1"/>
      <c r="J739" s="1"/>
      <c r="K739" s="1"/>
      <c r="L739" s="1"/>
      <c r="M739" s="3"/>
      <c r="N739" s="3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</row>
    <row r="740" spans="1:34" ht="18" customHeight="1" x14ac:dyDescent="0.25">
      <c r="A740" s="1"/>
      <c r="B740" s="1"/>
      <c r="C740" s="2"/>
      <c r="D740" s="143"/>
      <c r="E740" s="1"/>
      <c r="F740" s="1"/>
      <c r="G740" s="1"/>
      <c r="H740" s="1"/>
      <c r="I740" s="1"/>
      <c r="J740" s="1"/>
      <c r="K740" s="1"/>
      <c r="L740" s="1"/>
      <c r="M740" s="3"/>
      <c r="N740" s="3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</row>
    <row r="741" spans="1:34" ht="18" customHeight="1" x14ac:dyDescent="0.25">
      <c r="A741" s="1"/>
      <c r="B741" s="1"/>
      <c r="C741" s="2"/>
      <c r="D741" s="143"/>
      <c r="E741" s="1"/>
      <c r="F741" s="1"/>
      <c r="G741" s="1"/>
      <c r="H741" s="1"/>
      <c r="I741" s="1"/>
      <c r="J741" s="1"/>
      <c r="K741" s="1"/>
      <c r="L741" s="1"/>
      <c r="M741" s="3"/>
      <c r="N741" s="3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</row>
    <row r="742" spans="1:34" ht="18" customHeight="1" x14ac:dyDescent="0.25">
      <c r="A742" s="1"/>
      <c r="B742" s="1"/>
      <c r="C742" s="2"/>
      <c r="D742" s="143"/>
      <c r="E742" s="1"/>
      <c r="F742" s="1"/>
      <c r="G742" s="1"/>
      <c r="H742" s="1"/>
      <c r="I742" s="1"/>
      <c r="J742" s="1"/>
      <c r="K742" s="1"/>
      <c r="L742" s="1"/>
      <c r="M742" s="3"/>
      <c r="N742" s="3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</row>
    <row r="743" spans="1:34" ht="18" customHeight="1" x14ac:dyDescent="0.25">
      <c r="A743" s="1"/>
      <c r="B743" s="1"/>
      <c r="C743" s="2"/>
      <c r="D743" s="143"/>
      <c r="E743" s="1"/>
      <c r="F743" s="1"/>
      <c r="G743" s="1"/>
      <c r="H743" s="1"/>
      <c r="I743" s="1"/>
      <c r="J743" s="1"/>
      <c r="K743" s="1"/>
      <c r="L743" s="1"/>
      <c r="M743" s="3"/>
      <c r="N743" s="3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</row>
    <row r="744" spans="1:34" ht="18" customHeight="1" x14ac:dyDescent="0.25">
      <c r="A744" s="1"/>
      <c r="B744" s="1"/>
      <c r="C744" s="2"/>
      <c r="D744" s="143"/>
      <c r="E744" s="1"/>
      <c r="F744" s="1"/>
      <c r="G744" s="1"/>
      <c r="H744" s="1"/>
      <c r="I744" s="1"/>
      <c r="J744" s="1"/>
      <c r="K744" s="1"/>
      <c r="L744" s="1"/>
      <c r="M744" s="3"/>
      <c r="N744" s="3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</row>
    <row r="745" spans="1:34" ht="18" customHeight="1" x14ac:dyDescent="0.25">
      <c r="A745" s="1"/>
      <c r="B745" s="1"/>
      <c r="C745" s="2"/>
      <c r="D745" s="143"/>
      <c r="E745" s="1"/>
      <c r="F745" s="1"/>
      <c r="G745" s="1"/>
      <c r="H745" s="1"/>
      <c r="I745" s="1"/>
      <c r="J745" s="1"/>
      <c r="K745" s="1"/>
      <c r="L745" s="1"/>
      <c r="M745" s="3"/>
      <c r="N745" s="3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</row>
    <row r="746" spans="1:34" ht="18" customHeight="1" x14ac:dyDescent="0.25">
      <c r="A746" s="1"/>
      <c r="B746" s="1"/>
      <c r="C746" s="2"/>
      <c r="D746" s="143"/>
      <c r="E746" s="1"/>
      <c r="F746" s="1"/>
      <c r="G746" s="1"/>
      <c r="H746" s="1"/>
      <c r="I746" s="1"/>
      <c r="J746" s="1"/>
      <c r="K746" s="1"/>
      <c r="L746" s="1"/>
      <c r="M746" s="3"/>
      <c r="N746" s="3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</row>
    <row r="747" spans="1:34" ht="18" customHeight="1" x14ac:dyDescent="0.25">
      <c r="A747" s="1"/>
      <c r="B747" s="1"/>
      <c r="C747" s="2"/>
      <c r="D747" s="143"/>
      <c r="E747" s="1"/>
      <c r="F747" s="1"/>
      <c r="G747" s="1"/>
      <c r="H747" s="1"/>
      <c r="I747" s="1"/>
      <c r="J747" s="1"/>
      <c r="K747" s="1"/>
      <c r="L747" s="1"/>
      <c r="M747" s="3"/>
      <c r="N747" s="3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</row>
    <row r="748" spans="1:34" ht="18" customHeight="1" x14ac:dyDescent="0.25">
      <c r="A748" s="1"/>
      <c r="B748" s="1"/>
      <c r="C748" s="2"/>
      <c r="D748" s="143"/>
      <c r="E748" s="1"/>
      <c r="F748" s="1"/>
      <c r="G748" s="1"/>
      <c r="H748" s="1"/>
      <c r="I748" s="1"/>
      <c r="J748" s="1"/>
      <c r="K748" s="1"/>
      <c r="L748" s="1"/>
      <c r="M748" s="3"/>
      <c r="N748" s="3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</row>
    <row r="749" spans="1:34" ht="18" customHeight="1" x14ac:dyDescent="0.25">
      <c r="A749" s="1"/>
      <c r="B749" s="1"/>
      <c r="C749" s="2"/>
      <c r="D749" s="143"/>
      <c r="E749" s="1"/>
      <c r="F749" s="1"/>
      <c r="G749" s="1"/>
      <c r="H749" s="1"/>
      <c r="I749" s="1"/>
      <c r="J749" s="1"/>
      <c r="K749" s="1"/>
      <c r="L749" s="1"/>
      <c r="M749" s="3"/>
      <c r="N749" s="3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</row>
    <row r="750" spans="1:34" ht="18" customHeight="1" x14ac:dyDescent="0.25">
      <c r="A750" s="1"/>
      <c r="B750" s="1"/>
      <c r="C750" s="2"/>
      <c r="D750" s="143"/>
      <c r="E750" s="1"/>
      <c r="F750" s="1"/>
      <c r="G750" s="1"/>
      <c r="H750" s="1"/>
      <c r="I750" s="1"/>
      <c r="J750" s="1"/>
      <c r="K750" s="1"/>
      <c r="L750" s="1"/>
      <c r="M750" s="3"/>
      <c r="N750" s="3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</row>
    <row r="751" spans="1:34" ht="18" customHeight="1" x14ac:dyDescent="0.25">
      <c r="A751" s="1"/>
      <c r="B751" s="1"/>
      <c r="C751" s="2"/>
      <c r="D751" s="143"/>
      <c r="E751" s="1"/>
      <c r="F751" s="1"/>
      <c r="G751" s="1"/>
      <c r="H751" s="1"/>
      <c r="I751" s="1"/>
      <c r="J751" s="1"/>
      <c r="K751" s="1"/>
      <c r="L751" s="1"/>
      <c r="M751" s="3"/>
      <c r="N751" s="3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</row>
    <row r="752" spans="1:34" ht="18" customHeight="1" x14ac:dyDescent="0.25">
      <c r="A752" s="1"/>
      <c r="B752" s="1"/>
      <c r="C752" s="2"/>
      <c r="D752" s="143"/>
      <c r="E752" s="1"/>
      <c r="F752" s="1"/>
      <c r="G752" s="1"/>
      <c r="H752" s="1"/>
      <c r="I752" s="1"/>
      <c r="J752" s="1"/>
      <c r="K752" s="1"/>
      <c r="L752" s="1"/>
      <c r="M752" s="3"/>
      <c r="N752" s="3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</row>
    <row r="753" spans="1:34" ht="18" customHeight="1" x14ac:dyDescent="0.25">
      <c r="A753" s="1"/>
      <c r="B753" s="1"/>
      <c r="C753" s="2"/>
      <c r="D753" s="143"/>
      <c r="E753" s="1"/>
      <c r="F753" s="1"/>
      <c r="G753" s="1"/>
      <c r="H753" s="1"/>
      <c r="I753" s="1"/>
      <c r="J753" s="1"/>
      <c r="K753" s="1"/>
      <c r="L753" s="1"/>
      <c r="M753" s="3"/>
      <c r="N753" s="3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</row>
    <row r="754" spans="1:34" ht="18" customHeight="1" x14ac:dyDescent="0.25">
      <c r="A754" s="1"/>
      <c r="B754" s="1"/>
      <c r="C754" s="2"/>
      <c r="D754" s="143"/>
      <c r="E754" s="1"/>
      <c r="F754" s="1"/>
      <c r="G754" s="1"/>
      <c r="H754" s="1"/>
      <c r="I754" s="1"/>
      <c r="J754" s="1"/>
      <c r="K754" s="1"/>
      <c r="L754" s="1"/>
      <c r="M754" s="3"/>
      <c r="N754" s="3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</row>
    <row r="755" spans="1:34" ht="18" customHeight="1" x14ac:dyDescent="0.25">
      <c r="A755" s="1"/>
      <c r="B755" s="1"/>
      <c r="C755" s="2"/>
      <c r="D755" s="143"/>
      <c r="E755" s="1"/>
      <c r="F755" s="1"/>
      <c r="G755" s="1"/>
      <c r="H755" s="1"/>
      <c r="I755" s="1"/>
      <c r="J755" s="1"/>
      <c r="K755" s="1"/>
      <c r="L755" s="1"/>
      <c r="M755" s="3"/>
      <c r="N755" s="3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</row>
    <row r="756" spans="1:34" ht="18" customHeight="1" x14ac:dyDescent="0.25">
      <c r="A756" s="1"/>
      <c r="B756" s="1"/>
      <c r="C756" s="2"/>
      <c r="D756" s="143"/>
      <c r="E756" s="1"/>
      <c r="F756" s="1"/>
      <c r="G756" s="1"/>
      <c r="H756" s="1"/>
      <c r="I756" s="1"/>
      <c r="J756" s="1"/>
      <c r="K756" s="1"/>
      <c r="L756" s="1"/>
      <c r="M756" s="3"/>
      <c r="N756" s="3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</row>
    <row r="757" spans="1:34" ht="18" customHeight="1" x14ac:dyDescent="0.25">
      <c r="A757" s="1"/>
      <c r="B757" s="1"/>
      <c r="C757" s="2"/>
      <c r="D757" s="143"/>
      <c r="E757" s="1"/>
      <c r="F757" s="1"/>
      <c r="G757" s="1"/>
      <c r="H757" s="1"/>
      <c r="I757" s="1"/>
      <c r="J757" s="1"/>
      <c r="K757" s="1"/>
      <c r="L757" s="1"/>
      <c r="M757" s="3"/>
      <c r="N757" s="3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</row>
    <row r="758" spans="1:34" ht="18" customHeight="1" x14ac:dyDescent="0.25">
      <c r="A758" s="1"/>
      <c r="B758" s="1"/>
      <c r="C758" s="2"/>
      <c r="D758" s="143"/>
      <c r="E758" s="1"/>
      <c r="F758" s="1"/>
      <c r="G758" s="1"/>
      <c r="H758" s="1"/>
      <c r="I758" s="1"/>
      <c r="J758" s="1"/>
      <c r="K758" s="1"/>
      <c r="L758" s="1"/>
      <c r="M758" s="3"/>
      <c r="N758" s="3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</row>
    <row r="759" spans="1:34" ht="18" customHeight="1" x14ac:dyDescent="0.25">
      <c r="A759" s="1"/>
      <c r="B759" s="1"/>
      <c r="C759" s="2"/>
      <c r="D759" s="143"/>
      <c r="E759" s="1"/>
      <c r="F759" s="1"/>
      <c r="G759" s="1"/>
      <c r="H759" s="1"/>
      <c r="I759" s="1"/>
      <c r="J759" s="1"/>
      <c r="K759" s="1"/>
      <c r="L759" s="1"/>
      <c r="M759" s="3"/>
      <c r="N759" s="3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</row>
    <row r="760" spans="1:34" ht="18" customHeight="1" x14ac:dyDescent="0.25">
      <c r="A760" s="1"/>
      <c r="B760" s="1"/>
      <c r="C760" s="2"/>
      <c r="D760" s="143"/>
      <c r="E760" s="1"/>
      <c r="F760" s="1"/>
      <c r="G760" s="1"/>
      <c r="H760" s="1"/>
      <c r="I760" s="1"/>
      <c r="J760" s="1"/>
      <c r="K760" s="1"/>
      <c r="L760" s="1"/>
      <c r="M760" s="3"/>
      <c r="N760" s="3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</row>
    <row r="761" spans="1:34" ht="18" customHeight="1" x14ac:dyDescent="0.25">
      <c r="A761" s="1"/>
      <c r="B761" s="1"/>
      <c r="C761" s="2"/>
      <c r="D761" s="143"/>
      <c r="E761" s="1"/>
      <c r="F761" s="1"/>
      <c r="G761" s="1"/>
      <c r="H761" s="1"/>
      <c r="I761" s="1"/>
      <c r="J761" s="1"/>
      <c r="K761" s="1"/>
      <c r="L761" s="1"/>
      <c r="M761" s="3"/>
      <c r="N761" s="3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</row>
    <row r="762" spans="1:34" ht="18" customHeight="1" x14ac:dyDescent="0.25">
      <c r="A762" s="1"/>
      <c r="B762" s="1"/>
      <c r="C762" s="2"/>
      <c r="D762" s="143"/>
      <c r="E762" s="1"/>
      <c r="F762" s="1"/>
      <c r="G762" s="1"/>
      <c r="H762" s="1"/>
      <c r="I762" s="1"/>
      <c r="J762" s="1"/>
      <c r="K762" s="1"/>
      <c r="L762" s="1"/>
      <c r="M762" s="3"/>
      <c r="N762" s="3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</row>
    <row r="763" spans="1:34" ht="18" customHeight="1" x14ac:dyDescent="0.25">
      <c r="A763" s="1"/>
      <c r="B763" s="1"/>
      <c r="C763" s="2"/>
      <c r="D763" s="143"/>
      <c r="E763" s="1"/>
      <c r="F763" s="1"/>
      <c r="G763" s="1"/>
      <c r="H763" s="1"/>
      <c r="I763" s="1"/>
      <c r="J763" s="1"/>
      <c r="K763" s="1"/>
      <c r="L763" s="1"/>
      <c r="M763" s="3"/>
      <c r="N763" s="3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</row>
    <row r="764" spans="1:34" ht="18" customHeight="1" x14ac:dyDescent="0.25">
      <c r="A764" s="1"/>
      <c r="B764" s="1"/>
      <c r="C764" s="2"/>
      <c r="D764" s="143"/>
      <c r="E764" s="1"/>
      <c r="F764" s="1"/>
      <c r="G764" s="1"/>
      <c r="H764" s="1"/>
      <c r="I764" s="1"/>
      <c r="J764" s="1"/>
      <c r="K764" s="1"/>
      <c r="L764" s="1"/>
      <c r="M764" s="3"/>
      <c r="N764" s="3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</row>
    <row r="765" spans="1:34" ht="18" customHeight="1" x14ac:dyDescent="0.25">
      <c r="A765" s="1"/>
      <c r="B765" s="1"/>
      <c r="C765" s="2"/>
      <c r="D765" s="143"/>
      <c r="E765" s="1"/>
      <c r="F765" s="1"/>
      <c r="G765" s="1"/>
      <c r="H765" s="1"/>
      <c r="I765" s="1"/>
      <c r="J765" s="1"/>
      <c r="K765" s="1"/>
      <c r="L765" s="1"/>
      <c r="M765" s="3"/>
      <c r="N765" s="3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</row>
    <row r="766" spans="1:34" ht="18" customHeight="1" x14ac:dyDescent="0.25">
      <c r="A766" s="1"/>
      <c r="B766" s="1"/>
      <c r="C766" s="2"/>
      <c r="D766" s="143"/>
      <c r="E766" s="1"/>
      <c r="F766" s="1"/>
      <c r="G766" s="1"/>
      <c r="H766" s="1"/>
      <c r="I766" s="1"/>
      <c r="J766" s="1"/>
      <c r="K766" s="1"/>
      <c r="L766" s="1"/>
      <c r="M766" s="3"/>
      <c r="N766" s="3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</row>
    <row r="767" spans="1:34" ht="18" customHeight="1" x14ac:dyDescent="0.25">
      <c r="A767" s="1"/>
      <c r="B767" s="1"/>
      <c r="C767" s="2"/>
      <c r="D767" s="143"/>
      <c r="E767" s="1"/>
      <c r="F767" s="1"/>
      <c r="G767" s="1"/>
      <c r="H767" s="1"/>
      <c r="I767" s="1"/>
      <c r="J767" s="1"/>
      <c r="K767" s="1"/>
      <c r="L767" s="1"/>
      <c r="M767" s="3"/>
      <c r="N767" s="3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</row>
    <row r="768" spans="1:34" ht="18" customHeight="1" x14ac:dyDescent="0.25">
      <c r="A768" s="1"/>
      <c r="B768" s="1"/>
      <c r="C768" s="2"/>
      <c r="D768" s="143"/>
      <c r="E768" s="1"/>
      <c r="F768" s="1"/>
      <c r="G768" s="1"/>
      <c r="H768" s="1"/>
      <c r="I768" s="1"/>
      <c r="J768" s="1"/>
      <c r="K768" s="1"/>
      <c r="L768" s="1"/>
      <c r="M768" s="3"/>
      <c r="N768" s="3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</row>
    <row r="769" spans="1:34" ht="18" customHeight="1" x14ac:dyDescent="0.25">
      <c r="A769" s="1"/>
      <c r="B769" s="1"/>
      <c r="C769" s="2"/>
      <c r="D769" s="143"/>
      <c r="E769" s="1"/>
      <c r="F769" s="1"/>
      <c r="G769" s="1"/>
      <c r="H769" s="1"/>
      <c r="I769" s="1"/>
      <c r="J769" s="1"/>
      <c r="K769" s="1"/>
      <c r="L769" s="1"/>
      <c r="M769" s="3"/>
      <c r="N769" s="3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</row>
    <row r="770" spans="1:34" ht="18" customHeight="1" x14ac:dyDescent="0.25">
      <c r="A770" s="1"/>
      <c r="B770" s="1"/>
      <c r="C770" s="2"/>
      <c r="D770" s="143"/>
      <c r="E770" s="1"/>
      <c r="F770" s="1"/>
      <c r="G770" s="1"/>
      <c r="H770" s="1"/>
      <c r="I770" s="1"/>
      <c r="J770" s="1"/>
      <c r="K770" s="1"/>
      <c r="L770" s="1"/>
      <c r="M770" s="3"/>
      <c r="N770" s="3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</row>
    <row r="771" spans="1:34" ht="18" customHeight="1" x14ac:dyDescent="0.25">
      <c r="A771" s="1"/>
      <c r="B771" s="1"/>
      <c r="C771" s="2"/>
      <c r="D771" s="143"/>
      <c r="E771" s="1"/>
      <c r="F771" s="1"/>
      <c r="G771" s="1"/>
      <c r="H771" s="1"/>
      <c r="I771" s="1"/>
      <c r="J771" s="1"/>
      <c r="K771" s="1"/>
      <c r="L771" s="1"/>
      <c r="M771" s="3"/>
      <c r="N771" s="3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</row>
    <row r="772" spans="1:34" ht="18" customHeight="1" x14ac:dyDescent="0.25">
      <c r="A772" s="1"/>
      <c r="B772" s="1"/>
      <c r="C772" s="2"/>
      <c r="D772" s="143"/>
      <c r="E772" s="1"/>
      <c r="F772" s="1"/>
      <c r="G772" s="1"/>
      <c r="H772" s="1"/>
      <c r="I772" s="1"/>
      <c r="J772" s="1"/>
      <c r="K772" s="1"/>
      <c r="L772" s="1"/>
      <c r="M772" s="3"/>
      <c r="N772" s="3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</row>
    <row r="773" spans="1:34" ht="18" customHeight="1" x14ac:dyDescent="0.25">
      <c r="A773" s="1"/>
      <c r="B773" s="1"/>
      <c r="C773" s="2"/>
      <c r="D773" s="143"/>
      <c r="E773" s="1"/>
      <c r="F773" s="1"/>
      <c r="G773" s="1"/>
      <c r="H773" s="1"/>
      <c r="I773" s="1"/>
      <c r="J773" s="1"/>
      <c r="K773" s="1"/>
      <c r="L773" s="1"/>
      <c r="M773" s="3"/>
      <c r="N773" s="3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</row>
    <row r="774" spans="1:34" ht="18" customHeight="1" x14ac:dyDescent="0.25">
      <c r="A774" s="1"/>
      <c r="B774" s="1"/>
      <c r="C774" s="2"/>
      <c r="D774" s="143"/>
      <c r="E774" s="1"/>
      <c r="F774" s="1"/>
      <c r="G774" s="1"/>
      <c r="H774" s="1"/>
      <c r="I774" s="1"/>
      <c r="J774" s="1"/>
      <c r="K774" s="1"/>
      <c r="L774" s="1"/>
      <c r="M774" s="3"/>
      <c r="N774" s="3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</row>
    <row r="775" spans="1:34" ht="18" customHeight="1" x14ac:dyDescent="0.25">
      <c r="A775" s="1"/>
      <c r="B775" s="1"/>
      <c r="C775" s="2"/>
      <c r="D775" s="143"/>
      <c r="E775" s="1"/>
      <c r="F775" s="1"/>
      <c r="G775" s="1"/>
      <c r="H775" s="1"/>
      <c r="I775" s="1"/>
      <c r="J775" s="1"/>
      <c r="K775" s="1"/>
      <c r="L775" s="1"/>
      <c r="M775" s="3"/>
      <c r="N775" s="3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</row>
    <row r="776" spans="1:34" ht="18" customHeight="1" x14ac:dyDescent="0.25">
      <c r="A776" s="1"/>
      <c r="B776" s="1"/>
      <c r="C776" s="2"/>
      <c r="D776" s="143"/>
      <c r="E776" s="1"/>
      <c r="F776" s="1"/>
      <c r="G776" s="1"/>
      <c r="H776" s="1"/>
      <c r="I776" s="1"/>
      <c r="J776" s="1"/>
      <c r="K776" s="1"/>
      <c r="L776" s="1"/>
      <c r="M776" s="3"/>
      <c r="N776" s="3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</row>
    <row r="777" spans="1:34" ht="18" customHeight="1" x14ac:dyDescent="0.25">
      <c r="A777" s="1"/>
      <c r="B777" s="1"/>
      <c r="C777" s="2"/>
      <c r="D777" s="143"/>
      <c r="E777" s="1"/>
      <c r="F777" s="1"/>
      <c r="G777" s="1"/>
      <c r="H777" s="1"/>
      <c r="I777" s="1"/>
      <c r="J777" s="1"/>
      <c r="K777" s="1"/>
      <c r="L777" s="1"/>
      <c r="M777" s="3"/>
      <c r="N777" s="3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</row>
    <row r="778" spans="1:34" ht="18" customHeight="1" x14ac:dyDescent="0.25">
      <c r="A778" s="1"/>
      <c r="B778" s="1"/>
      <c r="C778" s="2"/>
      <c r="D778" s="143"/>
      <c r="E778" s="1"/>
      <c r="F778" s="1"/>
      <c r="G778" s="1"/>
      <c r="H778" s="1"/>
      <c r="I778" s="1"/>
      <c r="J778" s="1"/>
      <c r="K778" s="1"/>
      <c r="L778" s="1"/>
      <c r="M778" s="3"/>
      <c r="N778" s="3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</row>
    <row r="779" spans="1:34" ht="18" customHeight="1" x14ac:dyDescent="0.25">
      <c r="A779" s="1"/>
      <c r="B779" s="1"/>
      <c r="C779" s="2"/>
      <c r="D779" s="143"/>
      <c r="E779" s="1"/>
      <c r="F779" s="1"/>
      <c r="G779" s="1"/>
      <c r="H779" s="1"/>
      <c r="I779" s="1"/>
      <c r="J779" s="1"/>
      <c r="K779" s="1"/>
      <c r="L779" s="1"/>
      <c r="M779" s="3"/>
      <c r="N779" s="3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</row>
    <row r="780" spans="1:34" ht="18" customHeight="1" x14ac:dyDescent="0.25">
      <c r="A780" s="1"/>
      <c r="B780" s="1"/>
      <c r="C780" s="2"/>
      <c r="D780" s="143"/>
      <c r="E780" s="1"/>
      <c r="F780" s="1"/>
      <c r="G780" s="1"/>
      <c r="H780" s="1"/>
      <c r="I780" s="1"/>
      <c r="J780" s="1"/>
      <c r="K780" s="1"/>
      <c r="L780" s="1"/>
      <c r="M780" s="3"/>
      <c r="N780" s="3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</row>
    <row r="781" spans="1:34" ht="18" customHeight="1" x14ac:dyDescent="0.25">
      <c r="A781" s="1"/>
      <c r="B781" s="1"/>
      <c r="C781" s="2"/>
      <c r="D781" s="143"/>
      <c r="E781" s="1"/>
      <c r="F781" s="1"/>
      <c r="G781" s="1"/>
      <c r="H781" s="1"/>
      <c r="I781" s="1"/>
      <c r="J781" s="1"/>
      <c r="K781" s="1"/>
      <c r="L781" s="1"/>
      <c r="M781" s="3"/>
      <c r="N781" s="3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</row>
    <row r="782" spans="1:34" ht="18" customHeight="1" x14ac:dyDescent="0.25">
      <c r="A782" s="1"/>
      <c r="B782" s="1"/>
      <c r="C782" s="2"/>
      <c r="D782" s="143"/>
      <c r="E782" s="1"/>
      <c r="F782" s="1"/>
      <c r="G782" s="1"/>
      <c r="H782" s="1"/>
      <c r="I782" s="1"/>
      <c r="J782" s="1"/>
      <c r="K782" s="1"/>
      <c r="L782" s="1"/>
      <c r="M782" s="3"/>
      <c r="N782" s="3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</row>
    <row r="783" spans="1:34" ht="18" customHeight="1" x14ac:dyDescent="0.25">
      <c r="A783" s="1"/>
      <c r="B783" s="1"/>
      <c r="C783" s="2"/>
      <c r="D783" s="143"/>
      <c r="E783" s="1"/>
      <c r="F783" s="1"/>
      <c r="G783" s="1"/>
      <c r="H783" s="1"/>
      <c r="I783" s="1"/>
      <c r="J783" s="1"/>
      <c r="K783" s="1"/>
      <c r="L783" s="1"/>
      <c r="M783" s="3"/>
      <c r="N783" s="3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</row>
    <row r="784" spans="1:34" ht="18" customHeight="1" x14ac:dyDescent="0.25">
      <c r="A784" s="1"/>
      <c r="B784" s="1"/>
      <c r="C784" s="2"/>
      <c r="D784" s="143"/>
      <c r="E784" s="1"/>
      <c r="F784" s="1"/>
      <c r="G784" s="1"/>
      <c r="H784" s="1"/>
      <c r="I784" s="1"/>
      <c r="J784" s="1"/>
      <c r="K784" s="1"/>
      <c r="L784" s="1"/>
      <c r="M784" s="3"/>
      <c r="N784" s="3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</row>
    <row r="785" spans="1:34" ht="18" customHeight="1" x14ac:dyDescent="0.25">
      <c r="A785" s="1"/>
      <c r="B785" s="1"/>
      <c r="C785" s="2"/>
      <c r="D785" s="143"/>
      <c r="E785" s="1"/>
      <c r="F785" s="1"/>
      <c r="G785" s="1"/>
      <c r="H785" s="1"/>
      <c r="I785" s="1"/>
      <c r="J785" s="1"/>
      <c r="K785" s="1"/>
      <c r="L785" s="1"/>
      <c r="M785" s="3"/>
      <c r="N785" s="3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</row>
    <row r="786" spans="1:34" ht="18" customHeight="1" x14ac:dyDescent="0.25">
      <c r="A786" s="1"/>
      <c r="B786" s="1"/>
      <c r="C786" s="2"/>
      <c r="D786" s="143"/>
      <c r="E786" s="1"/>
      <c r="F786" s="1"/>
      <c r="G786" s="1"/>
      <c r="H786" s="1"/>
      <c r="I786" s="1"/>
      <c r="J786" s="1"/>
      <c r="K786" s="1"/>
      <c r="L786" s="1"/>
      <c r="M786" s="3"/>
      <c r="N786" s="3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</row>
    <row r="787" spans="1:34" ht="18" customHeight="1" x14ac:dyDescent="0.25">
      <c r="A787" s="1"/>
      <c r="B787" s="1"/>
      <c r="C787" s="2"/>
      <c r="D787" s="143"/>
      <c r="E787" s="1"/>
      <c r="F787" s="1"/>
      <c r="G787" s="1"/>
      <c r="H787" s="1"/>
      <c r="I787" s="1"/>
      <c r="J787" s="1"/>
      <c r="K787" s="1"/>
      <c r="L787" s="1"/>
      <c r="M787" s="3"/>
      <c r="N787" s="3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</row>
    <row r="788" spans="1:34" ht="18" customHeight="1" x14ac:dyDescent="0.25">
      <c r="A788" s="1"/>
      <c r="B788" s="1"/>
      <c r="C788" s="2"/>
      <c r="D788" s="143"/>
      <c r="E788" s="1"/>
      <c r="F788" s="1"/>
      <c r="G788" s="1"/>
      <c r="H788" s="1"/>
      <c r="I788" s="1"/>
      <c r="J788" s="1"/>
      <c r="K788" s="1"/>
      <c r="L788" s="1"/>
      <c r="M788" s="3"/>
      <c r="N788" s="3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</row>
    <row r="789" spans="1:34" ht="18" customHeight="1" x14ac:dyDescent="0.25">
      <c r="A789" s="1"/>
      <c r="B789" s="1"/>
      <c r="C789" s="2"/>
      <c r="D789" s="143"/>
      <c r="E789" s="1"/>
      <c r="F789" s="1"/>
      <c r="G789" s="1"/>
      <c r="H789" s="1"/>
      <c r="I789" s="1"/>
      <c r="J789" s="1"/>
      <c r="K789" s="1"/>
      <c r="L789" s="1"/>
      <c r="M789" s="3"/>
      <c r="N789" s="3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</row>
    <row r="790" spans="1:34" ht="18" customHeight="1" x14ac:dyDescent="0.25">
      <c r="A790" s="1"/>
      <c r="B790" s="1"/>
      <c r="C790" s="2"/>
      <c r="D790" s="143"/>
      <c r="E790" s="1"/>
      <c r="F790" s="1"/>
      <c r="G790" s="1"/>
      <c r="H790" s="1"/>
      <c r="I790" s="1"/>
      <c r="J790" s="1"/>
      <c r="K790" s="1"/>
      <c r="L790" s="1"/>
      <c r="M790" s="3"/>
      <c r="N790" s="3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</row>
    <row r="791" spans="1:34" ht="18" customHeight="1" x14ac:dyDescent="0.25">
      <c r="A791" s="1"/>
      <c r="B791" s="1"/>
      <c r="C791" s="2"/>
      <c r="D791" s="143"/>
      <c r="E791" s="1"/>
      <c r="F791" s="1"/>
      <c r="G791" s="1"/>
      <c r="H791" s="1"/>
      <c r="I791" s="1"/>
      <c r="J791" s="1"/>
      <c r="K791" s="1"/>
      <c r="L791" s="1"/>
      <c r="M791" s="3"/>
      <c r="N791" s="3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</row>
    <row r="792" spans="1:34" ht="18" customHeight="1" x14ac:dyDescent="0.25">
      <c r="A792" s="1"/>
      <c r="B792" s="1"/>
      <c r="C792" s="2"/>
      <c r="D792" s="143"/>
      <c r="E792" s="1"/>
      <c r="F792" s="1"/>
      <c r="G792" s="1"/>
      <c r="H792" s="1"/>
      <c r="I792" s="1"/>
      <c r="J792" s="1"/>
      <c r="K792" s="1"/>
      <c r="L792" s="1"/>
      <c r="M792" s="3"/>
      <c r="N792" s="3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</row>
    <row r="793" spans="1:34" ht="18" customHeight="1" x14ac:dyDescent="0.25">
      <c r="A793" s="1"/>
      <c r="B793" s="1"/>
      <c r="C793" s="2"/>
      <c r="D793" s="143"/>
      <c r="E793" s="1"/>
      <c r="F793" s="1"/>
      <c r="G793" s="1"/>
      <c r="H793" s="1"/>
      <c r="I793" s="1"/>
      <c r="J793" s="1"/>
      <c r="K793" s="1"/>
      <c r="L793" s="1"/>
      <c r="M793" s="3"/>
      <c r="N793" s="3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</row>
    <row r="794" spans="1:34" ht="18" customHeight="1" x14ac:dyDescent="0.25">
      <c r="A794" s="1"/>
      <c r="B794" s="1"/>
      <c r="C794" s="2"/>
      <c r="D794" s="143"/>
      <c r="E794" s="1"/>
      <c r="F794" s="1"/>
      <c r="G794" s="1"/>
      <c r="H794" s="1"/>
      <c r="I794" s="1"/>
      <c r="J794" s="1"/>
      <c r="K794" s="1"/>
      <c r="L794" s="1"/>
      <c r="M794" s="3"/>
      <c r="N794" s="3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</row>
    <row r="795" spans="1:34" ht="18" customHeight="1" x14ac:dyDescent="0.25">
      <c r="A795" s="1"/>
      <c r="B795" s="1"/>
      <c r="C795" s="2"/>
      <c r="D795" s="143"/>
      <c r="E795" s="1"/>
      <c r="F795" s="1"/>
      <c r="G795" s="1"/>
      <c r="H795" s="1"/>
      <c r="I795" s="1"/>
      <c r="J795" s="1"/>
      <c r="K795" s="1"/>
      <c r="L795" s="1"/>
      <c r="M795" s="3"/>
      <c r="N795" s="3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</row>
    <row r="796" spans="1:34" ht="18" customHeight="1" x14ac:dyDescent="0.25">
      <c r="A796" s="1"/>
      <c r="B796" s="1"/>
      <c r="C796" s="2"/>
      <c r="D796" s="143"/>
      <c r="E796" s="1"/>
      <c r="F796" s="1"/>
      <c r="G796" s="1"/>
      <c r="H796" s="1"/>
      <c r="I796" s="1"/>
      <c r="J796" s="1"/>
      <c r="K796" s="1"/>
      <c r="L796" s="1"/>
      <c r="M796" s="3"/>
      <c r="N796" s="3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</row>
    <row r="797" spans="1:34" ht="18" customHeight="1" x14ac:dyDescent="0.25">
      <c r="A797" s="1"/>
      <c r="B797" s="1"/>
      <c r="C797" s="2"/>
      <c r="D797" s="143"/>
      <c r="E797" s="1"/>
      <c r="F797" s="1"/>
      <c r="G797" s="1"/>
      <c r="H797" s="1"/>
      <c r="I797" s="1"/>
      <c r="J797" s="1"/>
      <c r="K797" s="1"/>
      <c r="L797" s="1"/>
      <c r="M797" s="3"/>
      <c r="N797" s="3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</row>
    <row r="798" spans="1:34" ht="18" customHeight="1" x14ac:dyDescent="0.25">
      <c r="A798" s="1"/>
      <c r="B798" s="1"/>
      <c r="C798" s="2"/>
      <c r="D798" s="143"/>
      <c r="E798" s="1"/>
      <c r="F798" s="1"/>
      <c r="G798" s="1"/>
      <c r="H798" s="1"/>
      <c r="I798" s="1"/>
      <c r="J798" s="1"/>
      <c r="K798" s="1"/>
      <c r="L798" s="1"/>
      <c r="M798" s="3"/>
      <c r="N798" s="3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</row>
    <row r="799" spans="1:34" ht="18" customHeight="1" x14ac:dyDescent="0.25">
      <c r="A799" s="1"/>
      <c r="B799" s="1"/>
      <c r="C799" s="2"/>
      <c r="D799" s="143"/>
      <c r="E799" s="1"/>
      <c r="F799" s="1"/>
      <c r="G799" s="1"/>
      <c r="H799" s="1"/>
      <c r="I799" s="1"/>
      <c r="J799" s="1"/>
      <c r="K799" s="1"/>
      <c r="L799" s="1"/>
      <c r="M799" s="3"/>
      <c r="N799" s="3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</row>
    <row r="800" spans="1:34" ht="18" customHeight="1" x14ac:dyDescent="0.25">
      <c r="A800" s="1"/>
      <c r="B800" s="1"/>
      <c r="C800" s="2"/>
      <c r="D800" s="143"/>
      <c r="E800" s="1"/>
      <c r="F800" s="1"/>
      <c r="G800" s="1"/>
      <c r="H800" s="1"/>
      <c r="I800" s="1"/>
      <c r="J800" s="1"/>
      <c r="K800" s="1"/>
      <c r="L800" s="1"/>
      <c r="M800" s="3"/>
      <c r="N800" s="3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</row>
    <row r="801" spans="1:34" ht="18" customHeight="1" x14ac:dyDescent="0.25">
      <c r="A801" s="1"/>
      <c r="B801" s="1"/>
      <c r="C801" s="2"/>
      <c r="D801" s="143"/>
      <c r="E801" s="1"/>
      <c r="F801" s="1"/>
      <c r="G801" s="1"/>
      <c r="H801" s="1"/>
      <c r="I801" s="1"/>
      <c r="J801" s="1"/>
      <c r="K801" s="1"/>
      <c r="L801" s="1"/>
      <c r="M801" s="3"/>
      <c r="N801" s="3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</row>
    <row r="802" spans="1:34" ht="18" customHeight="1" x14ac:dyDescent="0.25">
      <c r="A802" s="1"/>
      <c r="B802" s="1"/>
      <c r="C802" s="2"/>
      <c r="D802" s="143"/>
      <c r="E802" s="1"/>
      <c r="F802" s="1"/>
      <c r="G802" s="1"/>
      <c r="H802" s="1"/>
      <c r="I802" s="1"/>
      <c r="J802" s="1"/>
      <c r="K802" s="1"/>
      <c r="L802" s="1"/>
      <c r="M802" s="3"/>
      <c r="N802" s="3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</row>
    <row r="803" spans="1:34" ht="18" customHeight="1" x14ac:dyDescent="0.25">
      <c r="A803" s="1"/>
      <c r="B803" s="1"/>
      <c r="C803" s="2"/>
      <c r="D803" s="143"/>
      <c r="E803" s="1"/>
      <c r="F803" s="1"/>
      <c r="G803" s="1"/>
      <c r="H803" s="1"/>
      <c r="I803" s="1"/>
      <c r="J803" s="1"/>
      <c r="K803" s="1"/>
      <c r="L803" s="1"/>
      <c r="M803" s="3"/>
      <c r="N803" s="3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</row>
    <row r="804" spans="1:34" ht="18" customHeight="1" x14ac:dyDescent="0.25">
      <c r="A804" s="1"/>
      <c r="B804" s="1"/>
      <c r="C804" s="2"/>
      <c r="D804" s="143"/>
      <c r="E804" s="1"/>
      <c r="F804" s="1"/>
      <c r="G804" s="1"/>
      <c r="H804" s="1"/>
      <c r="I804" s="1"/>
      <c r="J804" s="1"/>
      <c r="K804" s="1"/>
      <c r="L804" s="1"/>
      <c r="M804" s="3"/>
      <c r="N804" s="3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</row>
    <row r="805" spans="1:34" ht="18" customHeight="1" x14ac:dyDescent="0.25">
      <c r="A805" s="1"/>
      <c r="B805" s="1"/>
      <c r="C805" s="2"/>
      <c r="D805" s="143"/>
      <c r="E805" s="1"/>
      <c r="F805" s="1"/>
      <c r="G805" s="1"/>
      <c r="H805" s="1"/>
      <c r="I805" s="1"/>
      <c r="J805" s="1"/>
      <c r="K805" s="1"/>
      <c r="L805" s="1"/>
      <c r="M805" s="3"/>
      <c r="N805" s="3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</row>
    <row r="806" spans="1:34" ht="18" customHeight="1" x14ac:dyDescent="0.25">
      <c r="A806" s="1"/>
      <c r="B806" s="1"/>
      <c r="C806" s="2"/>
      <c r="D806" s="143"/>
      <c r="E806" s="1"/>
      <c r="F806" s="1"/>
      <c r="G806" s="1"/>
      <c r="H806" s="1"/>
      <c r="I806" s="1"/>
      <c r="J806" s="1"/>
      <c r="K806" s="1"/>
      <c r="L806" s="1"/>
      <c r="M806" s="3"/>
      <c r="N806" s="3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</row>
    <row r="807" spans="1:34" ht="18" customHeight="1" x14ac:dyDescent="0.25">
      <c r="A807" s="1"/>
      <c r="B807" s="1"/>
      <c r="C807" s="2"/>
      <c r="D807" s="143"/>
      <c r="E807" s="1"/>
      <c r="F807" s="1"/>
      <c r="G807" s="1"/>
      <c r="H807" s="1"/>
      <c r="I807" s="1"/>
      <c r="J807" s="1"/>
      <c r="K807" s="1"/>
      <c r="L807" s="1"/>
      <c r="M807" s="3"/>
      <c r="N807" s="3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</row>
    <row r="808" spans="1:34" ht="18" customHeight="1" x14ac:dyDescent="0.25">
      <c r="A808" s="1"/>
      <c r="B808" s="1"/>
      <c r="C808" s="2"/>
      <c r="D808" s="143"/>
      <c r="E808" s="1"/>
      <c r="F808" s="1"/>
      <c r="G808" s="1"/>
      <c r="H808" s="1"/>
      <c r="I808" s="1"/>
      <c r="J808" s="1"/>
      <c r="K808" s="1"/>
      <c r="L808" s="1"/>
      <c r="M808" s="3"/>
      <c r="N808" s="3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</row>
    <row r="809" spans="1:34" ht="18" customHeight="1" x14ac:dyDescent="0.25">
      <c r="A809" s="1"/>
      <c r="B809" s="1"/>
      <c r="C809" s="2"/>
      <c r="D809" s="143"/>
      <c r="E809" s="1"/>
      <c r="F809" s="1"/>
      <c r="G809" s="1"/>
      <c r="H809" s="1"/>
      <c r="I809" s="1"/>
      <c r="J809" s="1"/>
      <c r="K809" s="1"/>
      <c r="L809" s="1"/>
      <c r="M809" s="3"/>
      <c r="N809" s="3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</row>
    <row r="810" spans="1:34" ht="18" customHeight="1" x14ac:dyDescent="0.25">
      <c r="A810" s="1"/>
      <c r="B810" s="1"/>
      <c r="C810" s="2"/>
      <c r="D810" s="143"/>
      <c r="E810" s="1"/>
      <c r="F810" s="1"/>
      <c r="G810" s="1"/>
      <c r="H810" s="1"/>
      <c r="I810" s="1"/>
      <c r="J810" s="1"/>
      <c r="K810" s="1"/>
      <c r="L810" s="1"/>
      <c r="M810" s="3"/>
      <c r="N810" s="3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</row>
    <row r="811" spans="1:34" ht="18" customHeight="1" x14ac:dyDescent="0.25">
      <c r="A811" s="1"/>
      <c r="B811" s="1"/>
      <c r="C811" s="2"/>
      <c r="D811" s="143"/>
      <c r="E811" s="1"/>
      <c r="F811" s="1"/>
      <c r="G811" s="1"/>
      <c r="H811" s="1"/>
      <c r="I811" s="1"/>
      <c r="J811" s="1"/>
      <c r="K811" s="1"/>
      <c r="L811" s="1"/>
      <c r="M811" s="3"/>
      <c r="N811" s="3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</row>
    <row r="812" spans="1:34" ht="18" customHeight="1" x14ac:dyDescent="0.25">
      <c r="A812" s="1"/>
      <c r="B812" s="1"/>
      <c r="C812" s="2"/>
      <c r="D812" s="143"/>
      <c r="E812" s="1"/>
      <c r="F812" s="1"/>
      <c r="G812" s="1"/>
      <c r="H812" s="1"/>
      <c r="I812" s="1"/>
      <c r="J812" s="1"/>
      <c r="K812" s="1"/>
      <c r="L812" s="1"/>
      <c r="M812" s="3"/>
      <c r="N812" s="3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</row>
    <row r="813" spans="1:34" ht="18" customHeight="1" x14ac:dyDescent="0.25">
      <c r="A813" s="1"/>
      <c r="B813" s="1"/>
      <c r="C813" s="2"/>
      <c r="D813" s="143"/>
      <c r="E813" s="1"/>
      <c r="F813" s="1"/>
      <c r="G813" s="1"/>
      <c r="H813" s="1"/>
      <c r="I813" s="1"/>
      <c r="J813" s="1"/>
      <c r="K813" s="1"/>
      <c r="L813" s="1"/>
      <c r="M813" s="3"/>
      <c r="N813" s="3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</row>
    <row r="814" spans="1:34" ht="18" customHeight="1" x14ac:dyDescent="0.25">
      <c r="A814" s="1"/>
      <c r="B814" s="1"/>
      <c r="C814" s="2"/>
      <c r="D814" s="143"/>
      <c r="E814" s="1"/>
      <c r="F814" s="1"/>
      <c r="G814" s="1"/>
      <c r="H814" s="1"/>
      <c r="I814" s="1"/>
      <c r="J814" s="1"/>
      <c r="K814" s="1"/>
      <c r="L814" s="1"/>
      <c r="M814" s="3"/>
      <c r="N814" s="3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</row>
    <row r="815" spans="1:34" ht="18" customHeight="1" x14ac:dyDescent="0.25">
      <c r="A815" s="1"/>
      <c r="B815" s="1"/>
      <c r="C815" s="2"/>
      <c r="D815" s="143"/>
      <c r="E815" s="1"/>
      <c r="F815" s="1"/>
      <c r="G815" s="1"/>
      <c r="H815" s="1"/>
      <c r="I815" s="1"/>
      <c r="J815" s="1"/>
      <c r="K815" s="1"/>
      <c r="L815" s="1"/>
      <c r="M815" s="3"/>
      <c r="N815" s="3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</row>
    <row r="816" spans="1:34" ht="18" customHeight="1" x14ac:dyDescent="0.25">
      <c r="A816" s="1"/>
      <c r="B816" s="1"/>
      <c r="C816" s="2"/>
      <c r="D816" s="143"/>
      <c r="E816" s="1"/>
      <c r="F816" s="1"/>
      <c r="G816" s="1"/>
      <c r="H816" s="1"/>
      <c r="I816" s="1"/>
      <c r="J816" s="1"/>
      <c r="K816" s="1"/>
      <c r="L816" s="1"/>
      <c r="M816" s="3"/>
      <c r="N816" s="3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</row>
    <row r="817" spans="1:34" ht="18" customHeight="1" x14ac:dyDescent="0.25">
      <c r="A817" s="1"/>
      <c r="B817" s="1"/>
      <c r="C817" s="2"/>
      <c r="D817" s="143"/>
      <c r="E817" s="1"/>
      <c r="F817" s="1"/>
      <c r="G817" s="1"/>
      <c r="H817" s="1"/>
      <c r="I817" s="1"/>
      <c r="J817" s="1"/>
      <c r="K817" s="1"/>
      <c r="L817" s="1"/>
      <c r="M817" s="3"/>
      <c r="N817" s="3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</row>
    <row r="818" spans="1:34" ht="18" customHeight="1" x14ac:dyDescent="0.25">
      <c r="A818" s="1"/>
      <c r="B818" s="1"/>
      <c r="C818" s="2"/>
      <c r="D818" s="143"/>
      <c r="E818" s="1"/>
      <c r="F818" s="1"/>
      <c r="G818" s="1"/>
      <c r="H818" s="1"/>
      <c r="I818" s="1"/>
      <c r="J818" s="1"/>
      <c r="K818" s="1"/>
      <c r="L818" s="1"/>
      <c r="M818" s="3"/>
      <c r="N818" s="3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</row>
    <row r="819" spans="1:34" ht="18" customHeight="1" x14ac:dyDescent="0.25">
      <c r="A819" s="1"/>
      <c r="B819" s="1"/>
      <c r="C819" s="2"/>
      <c r="D819" s="143"/>
      <c r="E819" s="1"/>
      <c r="F819" s="1"/>
      <c r="G819" s="1"/>
      <c r="H819" s="1"/>
      <c r="I819" s="1"/>
      <c r="J819" s="1"/>
      <c r="K819" s="1"/>
      <c r="L819" s="1"/>
      <c r="M819" s="3"/>
      <c r="N819" s="3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</row>
    <row r="820" spans="1:34" ht="18" customHeight="1" x14ac:dyDescent="0.25">
      <c r="A820" s="1"/>
      <c r="B820" s="1"/>
      <c r="C820" s="2"/>
      <c r="D820" s="143"/>
      <c r="E820" s="1"/>
      <c r="F820" s="1"/>
      <c r="G820" s="1"/>
      <c r="H820" s="1"/>
      <c r="I820" s="1"/>
      <c r="J820" s="1"/>
      <c r="K820" s="1"/>
      <c r="L820" s="1"/>
      <c r="M820" s="3"/>
      <c r="N820" s="3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</row>
    <row r="821" spans="1:34" ht="18" customHeight="1" x14ac:dyDescent="0.25">
      <c r="A821" s="1"/>
      <c r="B821" s="1"/>
      <c r="C821" s="2"/>
      <c r="D821" s="143"/>
      <c r="E821" s="1"/>
      <c r="F821" s="1"/>
      <c r="G821" s="1"/>
      <c r="H821" s="1"/>
      <c r="I821" s="1"/>
      <c r="J821" s="1"/>
      <c r="K821" s="1"/>
      <c r="L821" s="1"/>
      <c r="M821" s="3"/>
      <c r="N821" s="3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</row>
    <row r="822" spans="1:34" ht="18" customHeight="1" x14ac:dyDescent="0.25">
      <c r="A822" s="1"/>
      <c r="B822" s="1"/>
      <c r="C822" s="2"/>
      <c r="D822" s="143"/>
      <c r="E822" s="1"/>
      <c r="F822" s="1"/>
      <c r="G822" s="1"/>
      <c r="H822" s="1"/>
      <c r="I822" s="1"/>
      <c r="J822" s="1"/>
      <c r="K822" s="1"/>
      <c r="L822" s="1"/>
      <c r="M822" s="3"/>
      <c r="N822" s="3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</row>
    <row r="823" spans="1:34" ht="18" customHeight="1" x14ac:dyDescent="0.25">
      <c r="A823" s="1"/>
      <c r="B823" s="1"/>
      <c r="C823" s="2"/>
      <c r="D823" s="143"/>
      <c r="E823" s="1"/>
      <c r="F823" s="1"/>
      <c r="G823" s="1"/>
      <c r="H823" s="1"/>
      <c r="I823" s="1"/>
      <c r="J823" s="1"/>
      <c r="K823" s="1"/>
      <c r="L823" s="1"/>
      <c r="M823" s="3"/>
      <c r="N823" s="3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</row>
    <row r="824" spans="1:34" ht="18" customHeight="1" x14ac:dyDescent="0.25">
      <c r="A824" s="1"/>
      <c r="B824" s="1"/>
      <c r="C824" s="2"/>
      <c r="D824" s="143"/>
      <c r="E824" s="1"/>
      <c r="F824" s="1"/>
      <c r="G824" s="1"/>
      <c r="H824" s="1"/>
      <c r="I824" s="1"/>
      <c r="J824" s="1"/>
      <c r="K824" s="1"/>
      <c r="L824" s="1"/>
      <c r="M824" s="3"/>
      <c r="N824" s="3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</row>
    <row r="825" spans="1:34" ht="18" customHeight="1" x14ac:dyDescent="0.25">
      <c r="A825" s="1"/>
      <c r="B825" s="1"/>
      <c r="C825" s="2"/>
      <c r="D825" s="143"/>
      <c r="E825" s="1"/>
      <c r="F825" s="1"/>
      <c r="G825" s="1"/>
      <c r="H825" s="1"/>
      <c r="I825" s="1"/>
      <c r="J825" s="1"/>
      <c r="K825" s="1"/>
      <c r="L825" s="1"/>
      <c r="M825" s="3"/>
      <c r="N825" s="3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</row>
    <row r="826" spans="1:34" ht="18" customHeight="1" x14ac:dyDescent="0.25">
      <c r="A826" s="1"/>
      <c r="B826" s="1"/>
      <c r="C826" s="2"/>
      <c r="D826" s="143"/>
      <c r="E826" s="1"/>
      <c r="F826" s="1"/>
      <c r="G826" s="1"/>
      <c r="H826" s="1"/>
      <c r="I826" s="1"/>
      <c r="J826" s="1"/>
      <c r="K826" s="1"/>
      <c r="L826" s="1"/>
      <c r="M826" s="3"/>
      <c r="N826" s="3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</row>
    <row r="827" spans="1:34" ht="18" customHeight="1" x14ac:dyDescent="0.25">
      <c r="A827" s="1"/>
      <c r="B827" s="1"/>
      <c r="C827" s="2"/>
      <c r="D827" s="143"/>
      <c r="E827" s="1"/>
      <c r="F827" s="1"/>
      <c r="G827" s="1"/>
      <c r="H827" s="1"/>
      <c r="I827" s="1"/>
      <c r="J827" s="1"/>
      <c r="K827" s="1"/>
      <c r="L827" s="1"/>
      <c r="M827" s="3"/>
      <c r="N827" s="3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</row>
    <row r="828" spans="1:34" ht="18" customHeight="1" x14ac:dyDescent="0.25">
      <c r="A828" s="1"/>
      <c r="B828" s="1"/>
      <c r="C828" s="2"/>
      <c r="D828" s="143"/>
      <c r="E828" s="1"/>
      <c r="F828" s="1"/>
      <c r="G828" s="1"/>
      <c r="H828" s="1"/>
      <c r="I828" s="1"/>
      <c r="J828" s="1"/>
      <c r="K828" s="1"/>
      <c r="L828" s="1"/>
      <c r="M828" s="3"/>
      <c r="N828" s="3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</row>
    <row r="829" spans="1:34" ht="18" customHeight="1" x14ac:dyDescent="0.25">
      <c r="A829" s="1"/>
      <c r="B829" s="1"/>
      <c r="C829" s="2"/>
      <c r="D829" s="143"/>
      <c r="E829" s="1"/>
      <c r="F829" s="1"/>
      <c r="G829" s="1"/>
      <c r="H829" s="1"/>
      <c r="I829" s="1"/>
      <c r="J829" s="1"/>
      <c r="K829" s="1"/>
      <c r="L829" s="1"/>
      <c r="M829" s="3"/>
      <c r="N829" s="3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</row>
    <row r="830" spans="1:34" ht="18" customHeight="1" x14ac:dyDescent="0.25">
      <c r="A830" s="1"/>
      <c r="B830" s="1"/>
      <c r="C830" s="2"/>
      <c r="D830" s="143"/>
      <c r="E830" s="1"/>
      <c r="F830" s="1"/>
      <c r="G830" s="1"/>
      <c r="H830" s="1"/>
      <c r="I830" s="1"/>
      <c r="J830" s="1"/>
      <c r="K830" s="1"/>
      <c r="L830" s="1"/>
      <c r="M830" s="3"/>
      <c r="N830" s="3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</row>
    <row r="831" spans="1:34" ht="18" customHeight="1" x14ac:dyDescent="0.25">
      <c r="A831" s="1"/>
      <c r="B831" s="1"/>
      <c r="C831" s="2"/>
      <c r="D831" s="143"/>
      <c r="E831" s="1"/>
      <c r="F831" s="1"/>
      <c r="G831" s="1"/>
      <c r="H831" s="1"/>
      <c r="I831" s="1"/>
      <c r="J831" s="1"/>
      <c r="K831" s="1"/>
      <c r="L831" s="1"/>
      <c r="M831" s="3"/>
      <c r="N831" s="3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</row>
    <row r="832" spans="1:34" ht="18" customHeight="1" x14ac:dyDescent="0.25">
      <c r="A832" s="1"/>
      <c r="B832" s="1"/>
      <c r="C832" s="2"/>
      <c r="D832" s="143"/>
      <c r="E832" s="1"/>
      <c r="F832" s="1"/>
      <c r="G832" s="1"/>
      <c r="H832" s="1"/>
      <c r="I832" s="1"/>
      <c r="J832" s="1"/>
      <c r="K832" s="1"/>
      <c r="L832" s="1"/>
      <c r="M832" s="3"/>
      <c r="N832" s="3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</row>
    <row r="833" spans="1:34" ht="18" customHeight="1" x14ac:dyDescent="0.25">
      <c r="A833" s="1"/>
      <c r="B833" s="1"/>
      <c r="C833" s="2"/>
      <c r="D833" s="143"/>
      <c r="E833" s="1"/>
      <c r="F833" s="1"/>
      <c r="G833" s="1"/>
      <c r="H833" s="1"/>
      <c r="I833" s="1"/>
      <c r="J833" s="1"/>
      <c r="K833" s="1"/>
      <c r="L833" s="1"/>
      <c r="M833" s="3"/>
      <c r="N833" s="3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</row>
    <row r="834" spans="1:34" ht="18" customHeight="1" x14ac:dyDescent="0.25">
      <c r="A834" s="1"/>
      <c r="B834" s="1"/>
      <c r="C834" s="2"/>
      <c r="D834" s="143"/>
      <c r="E834" s="1"/>
      <c r="F834" s="1"/>
      <c r="G834" s="1"/>
      <c r="H834" s="1"/>
      <c r="I834" s="1"/>
      <c r="J834" s="1"/>
      <c r="K834" s="1"/>
      <c r="L834" s="1"/>
      <c r="M834" s="3"/>
      <c r="N834" s="3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</row>
    <row r="835" spans="1:34" ht="18" customHeight="1" x14ac:dyDescent="0.25">
      <c r="A835" s="1"/>
      <c r="B835" s="1"/>
      <c r="C835" s="2"/>
      <c r="D835" s="143"/>
      <c r="E835" s="1"/>
      <c r="F835" s="1"/>
      <c r="G835" s="1"/>
      <c r="H835" s="1"/>
      <c r="I835" s="1"/>
      <c r="J835" s="1"/>
      <c r="K835" s="1"/>
      <c r="L835" s="1"/>
      <c r="M835" s="3"/>
      <c r="N835" s="3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</row>
    <row r="836" spans="1:34" ht="18" customHeight="1" x14ac:dyDescent="0.25">
      <c r="A836" s="1"/>
      <c r="B836" s="1"/>
      <c r="C836" s="2"/>
      <c r="D836" s="143"/>
      <c r="E836" s="1"/>
      <c r="F836" s="1"/>
      <c r="G836" s="1"/>
      <c r="H836" s="1"/>
      <c r="I836" s="1"/>
      <c r="J836" s="1"/>
      <c r="K836" s="1"/>
      <c r="L836" s="1"/>
      <c r="M836" s="3"/>
      <c r="N836" s="3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</row>
    <row r="837" spans="1:34" ht="18" customHeight="1" x14ac:dyDescent="0.25">
      <c r="A837" s="1"/>
      <c r="B837" s="1"/>
      <c r="C837" s="2"/>
      <c r="D837" s="143"/>
      <c r="E837" s="1"/>
      <c r="F837" s="1"/>
      <c r="G837" s="1"/>
      <c r="H837" s="1"/>
      <c r="I837" s="1"/>
      <c r="J837" s="1"/>
      <c r="K837" s="1"/>
      <c r="L837" s="1"/>
      <c r="M837" s="3"/>
      <c r="N837" s="3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</row>
    <row r="838" spans="1:34" ht="18" customHeight="1" x14ac:dyDescent="0.25">
      <c r="A838" s="1"/>
      <c r="B838" s="1"/>
      <c r="C838" s="2"/>
      <c r="D838" s="143"/>
      <c r="E838" s="1"/>
      <c r="F838" s="1"/>
      <c r="G838" s="1"/>
      <c r="H838" s="1"/>
      <c r="I838" s="1"/>
      <c r="J838" s="1"/>
      <c r="K838" s="1"/>
      <c r="L838" s="1"/>
      <c r="M838" s="3"/>
      <c r="N838" s="3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</row>
    <row r="839" spans="1:34" ht="18" customHeight="1" x14ac:dyDescent="0.25">
      <c r="A839" s="1"/>
      <c r="B839" s="1"/>
      <c r="C839" s="2"/>
      <c r="D839" s="143"/>
      <c r="E839" s="1"/>
      <c r="F839" s="1"/>
      <c r="G839" s="1"/>
      <c r="H839" s="1"/>
      <c r="I839" s="1"/>
      <c r="J839" s="1"/>
      <c r="K839" s="1"/>
      <c r="L839" s="1"/>
      <c r="M839" s="3"/>
      <c r="N839" s="3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</row>
    <row r="840" spans="1:34" ht="18" customHeight="1" x14ac:dyDescent="0.25">
      <c r="A840" s="1"/>
      <c r="B840" s="1"/>
      <c r="C840" s="2"/>
      <c r="D840" s="143"/>
      <c r="E840" s="1"/>
      <c r="F840" s="1"/>
      <c r="G840" s="1"/>
      <c r="H840" s="1"/>
      <c r="I840" s="1"/>
      <c r="J840" s="1"/>
      <c r="K840" s="1"/>
      <c r="L840" s="1"/>
      <c r="M840" s="3"/>
      <c r="N840" s="3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</row>
    <row r="841" spans="1:34" ht="18" customHeight="1" x14ac:dyDescent="0.25">
      <c r="A841" s="1"/>
      <c r="B841" s="1"/>
      <c r="C841" s="2"/>
      <c r="D841" s="143"/>
      <c r="E841" s="1"/>
      <c r="F841" s="1"/>
      <c r="G841" s="1"/>
      <c r="H841" s="1"/>
      <c r="I841" s="1"/>
      <c r="J841" s="1"/>
      <c r="K841" s="1"/>
      <c r="L841" s="1"/>
      <c r="M841" s="3"/>
      <c r="N841" s="3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</row>
    <row r="842" spans="1:34" ht="18" customHeight="1" x14ac:dyDescent="0.25">
      <c r="A842" s="1"/>
      <c r="B842" s="1"/>
      <c r="C842" s="2"/>
      <c r="D842" s="143"/>
      <c r="E842" s="1"/>
      <c r="F842" s="1"/>
      <c r="G842" s="1"/>
      <c r="H842" s="1"/>
      <c r="I842" s="1"/>
      <c r="J842" s="1"/>
      <c r="K842" s="1"/>
      <c r="L842" s="1"/>
      <c r="M842" s="3"/>
      <c r="N842" s="3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</row>
    <row r="843" spans="1:34" ht="18" customHeight="1" x14ac:dyDescent="0.25">
      <c r="A843" s="1"/>
      <c r="B843" s="1"/>
      <c r="C843" s="2"/>
      <c r="D843" s="143"/>
      <c r="E843" s="1"/>
      <c r="F843" s="1"/>
      <c r="G843" s="1"/>
      <c r="H843" s="1"/>
      <c r="I843" s="1"/>
      <c r="J843" s="1"/>
      <c r="K843" s="1"/>
      <c r="L843" s="1"/>
      <c r="M843" s="3"/>
      <c r="N843" s="3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</row>
    <row r="844" spans="1:34" ht="18" customHeight="1" x14ac:dyDescent="0.25">
      <c r="A844" s="1"/>
      <c r="B844" s="1"/>
      <c r="C844" s="2"/>
      <c r="D844" s="143"/>
      <c r="E844" s="1"/>
      <c r="F844" s="1"/>
      <c r="G844" s="1"/>
      <c r="H844" s="1"/>
      <c r="I844" s="1"/>
      <c r="J844" s="1"/>
      <c r="K844" s="1"/>
      <c r="L844" s="1"/>
      <c r="M844" s="3"/>
      <c r="N844" s="3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</row>
    <row r="845" spans="1:34" ht="18" customHeight="1" x14ac:dyDescent="0.25">
      <c r="A845" s="1"/>
      <c r="B845" s="1"/>
      <c r="C845" s="2"/>
      <c r="D845" s="143"/>
      <c r="E845" s="1"/>
      <c r="F845" s="1"/>
      <c r="G845" s="1"/>
      <c r="H845" s="1"/>
      <c r="I845" s="1"/>
      <c r="J845" s="1"/>
      <c r="K845" s="1"/>
      <c r="L845" s="1"/>
      <c r="M845" s="3"/>
      <c r="N845" s="3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</row>
    <row r="846" spans="1:34" ht="18" customHeight="1" x14ac:dyDescent="0.25">
      <c r="A846" s="1"/>
      <c r="B846" s="1"/>
      <c r="C846" s="2"/>
      <c r="D846" s="143"/>
      <c r="E846" s="1"/>
      <c r="F846" s="1"/>
      <c r="G846" s="1"/>
      <c r="H846" s="1"/>
      <c r="I846" s="1"/>
      <c r="J846" s="1"/>
      <c r="K846" s="1"/>
      <c r="L846" s="1"/>
      <c r="M846" s="3"/>
      <c r="N846" s="3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</row>
    <row r="847" spans="1:34" ht="18" customHeight="1" x14ac:dyDescent="0.25">
      <c r="A847" s="1"/>
      <c r="B847" s="1"/>
      <c r="C847" s="2"/>
      <c r="D847" s="143"/>
      <c r="E847" s="1"/>
      <c r="F847" s="1"/>
      <c r="G847" s="1"/>
      <c r="H847" s="1"/>
      <c r="I847" s="1"/>
      <c r="J847" s="1"/>
      <c r="K847" s="1"/>
      <c r="L847" s="1"/>
      <c r="M847" s="3"/>
      <c r="N847" s="3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</row>
    <row r="848" spans="1:34" ht="18" customHeight="1" x14ac:dyDescent="0.25">
      <c r="A848" s="1"/>
      <c r="B848" s="1"/>
      <c r="C848" s="2"/>
      <c r="D848" s="143"/>
      <c r="E848" s="1"/>
      <c r="F848" s="1"/>
      <c r="G848" s="1"/>
      <c r="H848" s="1"/>
      <c r="I848" s="1"/>
      <c r="J848" s="1"/>
      <c r="K848" s="1"/>
      <c r="L848" s="1"/>
      <c r="M848" s="3"/>
      <c r="N848" s="3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</row>
    <row r="849" spans="1:34" ht="18" customHeight="1" x14ac:dyDescent="0.25">
      <c r="A849" s="1"/>
      <c r="B849" s="1"/>
      <c r="C849" s="2"/>
      <c r="D849" s="143"/>
      <c r="E849" s="1"/>
      <c r="F849" s="1"/>
      <c r="G849" s="1"/>
      <c r="H849" s="1"/>
      <c r="I849" s="1"/>
      <c r="J849" s="1"/>
      <c r="K849" s="1"/>
      <c r="L849" s="1"/>
      <c r="M849" s="3"/>
      <c r="N849" s="3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</row>
    <row r="850" spans="1:34" ht="18" customHeight="1" x14ac:dyDescent="0.25">
      <c r="A850" s="1"/>
      <c r="B850" s="1"/>
      <c r="C850" s="2"/>
      <c r="D850" s="143"/>
      <c r="E850" s="1"/>
      <c r="F850" s="1"/>
      <c r="G850" s="1"/>
      <c r="H850" s="1"/>
      <c r="I850" s="1"/>
      <c r="J850" s="1"/>
      <c r="K850" s="1"/>
      <c r="L850" s="1"/>
      <c r="M850" s="3"/>
      <c r="N850" s="3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</row>
    <row r="851" spans="1:34" ht="18" customHeight="1" x14ac:dyDescent="0.25">
      <c r="A851" s="1"/>
      <c r="B851" s="1"/>
      <c r="C851" s="2"/>
      <c r="D851" s="143"/>
      <c r="E851" s="1"/>
      <c r="F851" s="1"/>
      <c r="G851" s="1"/>
      <c r="H851" s="1"/>
      <c r="I851" s="1"/>
      <c r="J851" s="1"/>
      <c r="K851" s="1"/>
      <c r="L851" s="1"/>
      <c r="M851" s="3"/>
      <c r="N851" s="3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</row>
    <row r="852" spans="1:34" ht="18" customHeight="1" x14ac:dyDescent="0.25">
      <c r="A852" s="1"/>
      <c r="B852" s="1"/>
      <c r="C852" s="2"/>
      <c r="D852" s="143"/>
      <c r="E852" s="1"/>
      <c r="F852" s="1"/>
      <c r="G852" s="1"/>
      <c r="H852" s="1"/>
      <c r="I852" s="1"/>
      <c r="J852" s="1"/>
      <c r="K852" s="1"/>
      <c r="L852" s="1"/>
      <c r="M852" s="3"/>
      <c r="N852" s="3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</row>
    <row r="853" spans="1:34" ht="18" customHeight="1" x14ac:dyDescent="0.25">
      <c r="A853" s="1"/>
      <c r="B853" s="1"/>
      <c r="C853" s="2"/>
      <c r="D853" s="143"/>
      <c r="E853" s="1"/>
      <c r="F853" s="1"/>
      <c r="G853" s="1"/>
      <c r="H853" s="1"/>
      <c r="I853" s="1"/>
      <c r="J853" s="1"/>
      <c r="K853" s="1"/>
      <c r="L853" s="1"/>
      <c r="M853" s="3"/>
      <c r="N853" s="3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</row>
    <row r="854" spans="1:34" ht="18" customHeight="1" x14ac:dyDescent="0.25">
      <c r="A854" s="1"/>
      <c r="B854" s="1"/>
      <c r="C854" s="2"/>
      <c r="D854" s="143"/>
      <c r="E854" s="1"/>
      <c r="F854" s="1"/>
      <c r="G854" s="1"/>
      <c r="H854" s="1"/>
      <c r="I854" s="1"/>
      <c r="J854" s="1"/>
      <c r="K854" s="1"/>
      <c r="L854" s="1"/>
      <c r="M854" s="3"/>
      <c r="N854" s="3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</row>
    <row r="855" spans="1:34" ht="18" customHeight="1" x14ac:dyDescent="0.25">
      <c r="A855" s="1"/>
      <c r="B855" s="1"/>
      <c r="C855" s="2"/>
      <c r="D855" s="143"/>
      <c r="E855" s="1"/>
      <c r="F855" s="1"/>
      <c r="G855" s="1"/>
      <c r="H855" s="1"/>
      <c r="I855" s="1"/>
      <c r="J855" s="1"/>
      <c r="K855" s="1"/>
      <c r="L855" s="1"/>
      <c r="M855" s="3"/>
      <c r="N855" s="3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</row>
    <row r="856" spans="1:34" ht="18" customHeight="1" x14ac:dyDescent="0.25">
      <c r="A856" s="1"/>
      <c r="B856" s="1"/>
      <c r="C856" s="2"/>
      <c r="D856" s="143"/>
      <c r="E856" s="1"/>
      <c r="F856" s="1"/>
      <c r="G856" s="1"/>
      <c r="H856" s="1"/>
      <c r="I856" s="1"/>
      <c r="J856" s="1"/>
      <c r="K856" s="1"/>
      <c r="L856" s="1"/>
      <c r="M856" s="3"/>
      <c r="N856" s="3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</row>
    <row r="857" spans="1:34" ht="18" customHeight="1" x14ac:dyDescent="0.25">
      <c r="A857" s="1"/>
      <c r="B857" s="1"/>
      <c r="C857" s="2"/>
      <c r="D857" s="143"/>
      <c r="E857" s="1"/>
      <c r="F857" s="1"/>
      <c r="G857" s="1"/>
      <c r="H857" s="1"/>
      <c r="I857" s="1"/>
      <c r="J857" s="1"/>
      <c r="K857" s="1"/>
      <c r="L857" s="1"/>
      <c r="M857" s="3"/>
      <c r="N857" s="3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</row>
    <row r="858" spans="1:34" ht="18" customHeight="1" x14ac:dyDescent="0.25">
      <c r="A858" s="1"/>
      <c r="B858" s="1"/>
      <c r="C858" s="2"/>
      <c r="D858" s="143"/>
      <c r="E858" s="1"/>
      <c r="F858" s="1"/>
      <c r="G858" s="1"/>
      <c r="H858" s="1"/>
      <c r="I858" s="1"/>
      <c r="J858" s="1"/>
      <c r="K858" s="1"/>
      <c r="L858" s="1"/>
      <c r="M858" s="3"/>
      <c r="N858" s="3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</row>
    <row r="859" spans="1:34" ht="18" customHeight="1" x14ac:dyDescent="0.25">
      <c r="A859" s="1"/>
      <c r="B859" s="1"/>
      <c r="C859" s="2"/>
      <c r="D859" s="143"/>
      <c r="E859" s="1"/>
      <c r="F859" s="1"/>
      <c r="G859" s="1"/>
      <c r="H859" s="1"/>
      <c r="I859" s="1"/>
      <c r="J859" s="1"/>
      <c r="K859" s="1"/>
      <c r="L859" s="1"/>
      <c r="M859" s="3"/>
      <c r="N859" s="3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</row>
    <row r="860" spans="1:34" ht="18" customHeight="1" x14ac:dyDescent="0.25">
      <c r="A860" s="1"/>
      <c r="B860" s="1"/>
      <c r="C860" s="2"/>
      <c r="D860" s="143"/>
      <c r="E860" s="1"/>
      <c r="F860" s="1"/>
      <c r="G860" s="1"/>
      <c r="H860" s="1"/>
      <c r="I860" s="1"/>
      <c r="J860" s="1"/>
      <c r="K860" s="1"/>
      <c r="L860" s="1"/>
      <c r="M860" s="3"/>
      <c r="N860" s="3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</row>
    <row r="861" spans="1:34" ht="18" customHeight="1" x14ac:dyDescent="0.25">
      <c r="A861" s="1"/>
      <c r="B861" s="1"/>
      <c r="C861" s="2"/>
      <c r="D861" s="143"/>
      <c r="E861" s="1"/>
      <c r="F861" s="1"/>
      <c r="G861" s="1"/>
      <c r="H861" s="1"/>
      <c r="I861" s="1"/>
      <c r="J861" s="1"/>
      <c r="K861" s="1"/>
      <c r="L861" s="1"/>
      <c r="M861" s="3"/>
      <c r="N861" s="3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</row>
    <row r="862" spans="1:34" ht="18" customHeight="1" x14ac:dyDescent="0.25">
      <c r="A862" s="1"/>
      <c r="B862" s="1"/>
      <c r="C862" s="2"/>
      <c r="D862" s="143"/>
      <c r="E862" s="1"/>
      <c r="F862" s="1"/>
      <c r="G862" s="1"/>
      <c r="H862" s="1"/>
      <c r="I862" s="1"/>
      <c r="J862" s="1"/>
      <c r="K862" s="1"/>
      <c r="L862" s="1"/>
      <c r="M862" s="3"/>
      <c r="N862" s="3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</row>
    <row r="863" spans="1:34" ht="18" customHeight="1" x14ac:dyDescent="0.25">
      <c r="A863" s="1"/>
      <c r="B863" s="1"/>
      <c r="C863" s="2"/>
      <c r="D863" s="143"/>
      <c r="E863" s="1"/>
      <c r="F863" s="1"/>
      <c r="G863" s="1"/>
      <c r="H863" s="1"/>
      <c r="I863" s="1"/>
      <c r="J863" s="1"/>
      <c r="K863" s="1"/>
      <c r="L863" s="1"/>
      <c r="M863" s="3"/>
      <c r="N863" s="3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</row>
    <row r="864" spans="1:34" ht="18" customHeight="1" x14ac:dyDescent="0.25">
      <c r="A864" s="1"/>
      <c r="B864" s="1"/>
      <c r="C864" s="2"/>
      <c r="D864" s="143"/>
      <c r="E864" s="1"/>
      <c r="F864" s="1"/>
      <c r="G864" s="1"/>
      <c r="H864" s="1"/>
      <c r="I864" s="1"/>
      <c r="J864" s="1"/>
      <c r="K864" s="1"/>
      <c r="L864" s="1"/>
      <c r="M864" s="3"/>
      <c r="N864" s="3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</row>
    <row r="865" spans="1:34" ht="18" customHeight="1" x14ac:dyDescent="0.25">
      <c r="A865" s="1"/>
      <c r="B865" s="1"/>
      <c r="C865" s="2"/>
      <c r="D865" s="143"/>
      <c r="E865" s="1"/>
      <c r="F865" s="1"/>
      <c r="G865" s="1"/>
      <c r="H865" s="1"/>
      <c r="I865" s="1"/>
      <c r="J865" s="1"/>
      <c r="K865" s="1"/>
      <c r="L865" s="1"/>
      <c r="M865" s="3"/>
      <c r="N865" s="3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</row>
    <row r="866" spans="1:34" ht="18" customHeight="1" x14ac:dyDescent="0.25">
      <c r="A866" s="1"/>
      <c r="B866" s="1"/>
      <c r="C866" s="2"/>
      <c r="D866" s="143"/>
      <c r="E866" s="1"/>
      <c r="F866" s="1"/>
      <c r="G866" s="1"/>
      <c r="H866" s="1"/>
      <c r="I866" s="1"/>
      <c r="J866" s="1"/>
      <c r="K866" s="1"/>
      <c r="L866" s="1"/>
      <c r="M866" s="3"/>
      <c r="N866" s="3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</row>
    <row r="867" spans="1:34" ht="18" customHeight="1" x14ac:dyDescent="0.25">
      <c r="A867" s="1"/>
      <c r="B867" s="1"/>
      <c r="C867" s="2"/>
      <c r="D867" s="143"/>
      <c r="E867" s="1"/>
      <c r="F867" s="1"/>
      <c r="G867" s="1"/>
      <c r="H867" s="1"/>
      <c r="I867" s="1"/>
      <c r="J867" s="1"/>
      <c r="K867" s="1"/>
      <c r="L867" s="1"/>
      <c r="M867" s="3"/>
      <c r="N867" s="3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</row>
    <row r="868" spans="1:34" ht="18" customHeight="1" x14ac:dyDescent="0.25">
      <c r="A868" s="1"/>
      <c r="B868" s="1"/>
      <c r="C868" s="2"/>
      <c r="D868" s="143"/>
      <c r="E868" s="1"/>
      <c r="F868" s="1"/>
      <c r="G868" s="1"/>
      <c r="H868" s="1"/>
      <c r="I868" s="1"/>
      <c r="J868" s="1"/>
      <c r="K868" s="1"/>
      <c r="L868" s="1"/>
      <c r="M868" s="3"/>
      <c r="N868" s="3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</row>
    <row r="869" spans="1:34" ht="18" customHeight="1" x14ac:dyDescent="0.25">
      <c r="A869" s="1"/>
      <c r="B869" s="1"/>
      <c r="C869" s="2"/>
      <c r="D869" s="143"/>
      <c r="E869" s="1"/>
      <c r="F869" s="1"/>
      <c r="G869" s="1"/>
      <c r="H869" s="1"/>
      <c r="I869" s="1"/>
      <c r="J869" s="1"/>
      <c r="K869" s="1"/>
      <c r="L869" s="1"/>
      <c r="M869" s="3"/>
      <c r="N869" s="3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</row>
    <row r="870" spans="1:34" ht="18" customHeight="1" x14ac:dyDescent="0.25">
      <c r="A870" s="1"/>
      <c r="B870" s="1"/>
      <c r="C870" s="2"/>
      <c r="D870" s="143"/>
      <c r="E870" s="1"/>
      <c r="F870" s="1"/>
      <c r="G870" s="1"/>
      <c r="H870" s="1"/>
      <c r="I870" s="1"/>
      <c r="J870" s="1"/>
      <c r="K870" s="1"/>
      <c r="L870" s="1"/>
      <c r="M870" s="3"/>
      <c r="N870" s="3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</row>
    <row r="871" spans="1:34" ht="18" customHeight="1" x14ac:dyDescent="0.25">
      <c r="A871" s="1"/>
      <c r="B871" s="1"/>
      <c r="C871" s="2"/>
      <c r="D871" s="143"/>
      <c r="E871" s="1"/>
      <c r="F871" s="1"/>
      <c r="G871" s="1"/>
      <c r="H871" s="1"/>
      <c r="I871" s="1"/>
      <c r="J871" s="1"/>
      <c r="K871" s="1"/>
      <c r="L871" s="1"/>
      <c r="M871" s="3"/>
      <c r="N871" s="3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</row>
    <row r="872" spans="1:34" ht="18" customHeight="1" x14ac:dyDescent="0.25">
      <c r="A872" s="1"/>
      <c r="B872" s="1"/>
      <c r="C872" s="2"/>
      <c r="D872" s="143"/>
      <c r="E872" s="1"/>
      <c r="F872" s="1"/>
      <c r="G872" s="1"/>
      <c r="H872" s="1"/>
      <c r="I872" s="1"/>
      <c r="J872" s="1"/>
      <c r="K872" s="1"/>
      <c r="L872" s="1"/>
      <c r="M872" s="3"/>
      <c r="N872" s="3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</row>
    <row r="873" spans="1:34" ht="18" customHeight="1" x14ac:dyDescent="0.25">
      <c r="A873" s="1"/>
      <c r="B873" s="1"/>
      <c r="C873" s="2"/>
      <c r="D873" s="143"/>
      <c r="E873" s="1"/>
      <c r="F873" s="1"/>
      <c r="G873" s="1"/>
      <c r="H873" s="1"/>
      <c r="I873" s="1"/>
      <c r="J873" s="1"/>
      <c r="K873" s="1"/>
      <c r="L873" s="1"/>
      <c r="M873" s="3"/>
      <c r="N873" s="3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</row>
    <row r="874" spans="1:34" ht="18" customHeight="1" x14ac:dyDescent="0.25">
      <c r="A874" s="1"/>
      <c r="B874" s="1"/>
      <c r="C874" s="2"/>
      <c r="D874" s="143"/>
      <c r="E874" s="1"/>
      <c r="F874" s="1"/>
      <c r="G874" s="1"/>
      <c r="H874" s="1"/>
      <c r="I874" s="1"/>
      <c r="J874" s="1"/>
      <c r="K874" s="1"/>
      <c r="L874" s="1"/>
      <c r="M874" s="3"/>
      <c r="N874" s="3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</row>
    <row r="875" spans="1:34" ht="18" customHeight="1" x14ac:dyDescent="0.25">
      <c r="A875" s="1"/>
      <c r="B875" s="1"/>
      <c r="C875" s="2"/>
      <c r="D875" s="143"/>
      <c r="E875" s="1"/>
      <c r="F875" s="1"/>
      <c r="G875" s="1"/>
      <c r="H875" s="1"/>
      <c r="I875" s="1"/>
      <c r="J875" s="1"/>
      <c r="K875" s="1"/>
      <c r="L875" s="1"/>
      <c r="M875" s="3"/>
      <c r="N875" s="3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</row>
    <row r="876" spans="1:34" ht="18" customHeight="1" x14ac:dyDescent="0.25">
      <c r="A876" s="1"/>
      <c r="B876" s="1"/>
      <c r="C876" s="2"/>
      <c r="D876" s="143"/>
      <c r="E876" s="1"/>
      <c r="F876" s="1"/>
      <c r="G876" s="1"/>
      <c r="H876" s="1"/>
      <c r="I876" s="1"/>
      <c r="J876" s="1"/>
      <c r="K876" s="1"/>
      <c r="L876" s="1"/>
      <c r="M876" s="3"/>
      <c r="N876" s="3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</row>
    <row r="877" spans="1:34" ht="18" customHeight="1" x14ac:dyDescent="0.25">
      <c r="A877" s="1"/>
      <c r="B877" s="1"/>
      <c r="C877" s="2"/>
      <c r="D877" s="143"/>
      <c r="E877" s="1"/>
      <c r="F877" s="1"/>
      <c r="G877" s="1"/>
      <c r="H877" s="1"/>
      <c r="I877" s="1"/>
      <c r="J877" s="1"/>
      <c r="K877" s="1"/>
      <c r="L877" s="1"/>
      <c r="M877" s="3"/>
      <c r="N877" s="3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</row>
    <row r="878" spans="1:34" ht="18" customHeight="1" x14ac:dyDescent="0.25">
      <c r="A878" s="1"/>
      <c r="B878" s="1"/>
      <c r="C878" s="2"/>
      <c r="D878" s="143"/>
      <c r="E878" s="1"/>
      <c r="F878" s="1"/>
      <c r="G878" s="1"/>
      <c r="H878" s="1"/>
      <c r="I878" s="1"/>
      <c r="J878" s="1"/>
      <c r="K878" s="1"/>
      <c r="L878" s="1"/>
      <c r="M878" s="3"/>
      <c r="N878" s="3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</row>
    <row r="879" spans="1:34" ht="18" customHeight="1" x14ac:dyDescent="0.25">
      <c r="A879" s="1"/>
      <c r="B879" s="1"/>
      <c r="C879" s="2"/>
      <c r="D879" s="143"/>
      <c r="E879" s="1"/>
      <c r="F879" s="1"/>
      <c r="G879" s="1"/>
      <c r="H879" s="1"/>
      <c r="I879" s="1"/>
      <c r="J879" s="1"/>
      <c r="K879" s="1"/>
      <c r="L879" s="1"/>
      <c r="M879" s="3"/>
      <c r="N879" s="3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</row>
    <row r="880" spans="1:34" ht="18" customHeight="1" x14ac:dyDescent="0.25">
      <c r="A880" s="1"/>
      <c r="B880" s="1"/>
      <c r="C880" s="2"/>
      <c r="D880" s="143"/>
      <c r="E880" s="1"/>
      <c r="F880" s="1"/>
      <c r="G880" s="1"/>
      <c r="H880" s="1"/>
      <c r="I880" s="1"/>
      <c r="J880" s="1"/>
      <c r="K880" s="1"/>
      <c r="L880" s="1"/>
      <c r="M880" s="3"/>
      <c r="N880" s="3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</row>
    <row r="881" spans="1:34" ht="18" customHeight="1" x14ac:dyDescent="0.25">
      <c r="A881" s="1"/>
      <c r="B881" s="1"/>
      <c r="C881" s="2"/>
      <c r="D881" s="143"/>
      <c r="E881" s="1"/>
      <c r="F881" s="1"/>
      <c r="G881" s="1"/>
      <c r="H881" s="1"/>
      <c r="I881" s="1"/>
      <c r="J881" s="1"/>
      <c r="K881" s="1"/>
      <c r="L881" s="1"/>
      <c r="M881" s="3"/>
      <c r="N881" s="3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</row>
    <row r="882" spans="1:34" ht="18" customHeight="1" x14ac:dyDescent="0.25">
      <c r="A882" s="1"/>
      <c r="B882" s="1"/>
      <c r="C882" s="2"/>
      <c r="D882" s="143"/>
      <c r="E882" s="1"/>
      <c r="F882" s="1"/>
      <c r="G882" s="1"/>
      <c r="H882" s="1"/>
      <c r="I882" s="1"/>
      <c r="J882" s="1"/>
      <c r="K882" s="1"/>
      <c r="L882" s="1"/>
      <c r="M882" s="3"/>
      <c r="N882" s="3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</row>
    <row r="883" spans="1:34" ht="18" customHeight="1" x14ac:dyDescent="0.25">
      <c r="A883" s="1"/>
      <c r="B883" s="1"/>
      <c r="C883" s="2"/>
      <c r="D883" s="143"/>
      <c r="E883" s="1"/>
      <c r="F883" s="1"/>
      <c r="G883" s="1"/>
      <c r="H883" s="1"/>
      <c r="I883" s="1"/>
      <c r="J883" s="1"/>
      <c r="K883" s="1"/>
      <c r="L883" s="1"/>
      <c r="M883" s="3"/>
      <c r="N883" s="3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</row>
    <row r="884" spans="1:34" ht="18" customHeight="1" x14ac:dyDescent="0.25">
      <c r="A884" s="1"/>
      <c r="B884" s="1"/>
      <c r="C884" s="2"/>
      <c r="D884" s="143"/>
      <c r="E884" s="1"/>
      <c r="F884" s="1"/>
      <c r="G884" s="1"/>
      <c r="H884" s="1"/>
      <c r="I884" s="1"/>
      <c r="J884" s="1"/>
      <c r="K884" s="1"/>
      <c r="L884" s="1"/>
      <c r="M884" s="3"/>
      <c r="N884" s="3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</row>
    <row r="885" spans="1:34" ht="18" customHeight="1" x14ac:dyDescent="0.25">
      <c r="A885" s="1"/>
      <c r="B885" s="1"/>
      <c r="C885" s="2"/>
      <c r="D885" s="143"/>
      <c r="E885" s="1"/>
      <c r="F885" s="1"/>
      <c r="G885" s="1"/>
      <c r="H885" s="1"/>
      <c r="I885" s="1"/>
      <c r="J885" s="1"/>
      <c r="K885" s="1"/>
      <c r="L885" s="1"/>
      <c r="M885" s="3"/>
      <c r="N885" s="3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</row>
    <row r="886" spans="1:34" ht="18" customHeight="1" x14ac:dyDescent="0.25">
      <c r="A886" s="1"/>
      <c r="B886" s="1"/>
      <c r="C886" s="2"/>
      <c r="D886" s="143"/>
      <c r="E886" s="1"/>
      <c r="F886" s="1"/>
      <c r="G886" s="1"/>
      <c r="H886" s="1"/>
      <c r="I886" s="1"/>
      <c r="J886" s="1"/>
      <c r="K886" s="1"/>
      <c r="L886" s="1"/>
      <c r="M886" s="3"/>
      <c r="N886" s="3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</row>
    <row r="887" spans="1:34" ht="18" customHeight="1" x14ac:dyDescent="0.25">
      <c r="A887" s="1"/>
      <c r="B887" s="1"/>
      <c r="C887" s="2"/>
      <c r="D887" s="143"/>
      <c r="E887" s="1"/>
      <c r="F887" s="1"/>
      <c r="G887" s="1"/>
      <c r="H887" s="1"/>
      <c r="I887" s="1"/>
      <c r="J887" s="1"/>
      <c r="K887" s="1"/>
      <c r="L887" s="1"/>
      <c r="M887" s="3"/>
      <c r="N887" s="3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</row>
    <row r="888" spans="1:34" ht="18" customHeight="1" x14ac:dyDescent="0.25">
      <c r="A888" s="1"/>
      <c r="B888" s="1"/>
      <c r="C888" s="2"/>
      <c r="D888" s="143"/>
      <c r="E888" s="1"/>
      <c r="F888" s="1"/>
      <c r="G888" s="1"/>
      <c r="H888" s="1"/>
      <c r="I888" s="1"/>
      <c r="J888" s="1"/>
      <c r="K888" s="1"/>
      <c r="L888" s="1"/>
      <c r="M888" s="3"/>
      <c r="N888" s="3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</row>
    <row r="889" spans="1:34" ht="18" customHeight="1" x14ac:dyDescent="0.25">
      <c r="A889" s="1"/>
      <c r="B889" s="1"/>
      <c r="C889" s="2"/>
      <c r="D889" s="143"/>
      <c r="E889" s="1"/>
      <c r="F889" s="1"/>
      <c r="G889" s="1"/>
      <c r="H889" s="1"/>
      <c r="I889" s="1"/>
      <c r="J889" s="1"/>
      <c r="K889" s="1"/>
      <c r="L889" s="1"/>
      <c r="M889" s="3"/>
      <c r="N889" s="3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</row>
    <row r="890" spans="1:34" ht="18" customHeight="1" x14ac:dyDescent="0.25">
      <c r="A890" s="1"/>
      <c r="B890" s="1"/>
      <c r="C890" s="2"/>
      <c r="D890" s="143"/>
      <c r="E890" s="1"/>
      <c r="F890" s="1"/>
      <c r="G890" s="1"/>
      <c r="H890" s="1"/>
      <c r="I890" s="1"/>
      <c r="J890" s="1"/>
      <c r="K890" s="1"/>
      <c r="L890" s="1"/>
      <c r="M890" s="3"/>
      <c r="N890" s="3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</row>
    <row r="891" spans="1:34" ht="18" customHeight="1" x14ac:dyDescent="0.25">
      <c r="A891" s="1"/>
      <c r="B891" s="1"/>
      <c r="C891" s="2"/>
      <c r="D891" s="143"/>
      <c r="E891" s="1"/>
      <c r="F891" s="1"/>
      <c r="G891" s="1"/>
      <c r="H891" s="1"/>
      <c r="I891" s="1"/>
      <c r="J891" s="1"/>
      <c r="K891" s="1"/>
      <c r="L891" s="1"/>
      <c r="M891" s="3"/>
      <c r="N891" s="3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</row>
    <row r="892" spans="1:34" ht="18" customHeight="1" x14ac:dyDescent="0.25">
      <c r="A892" s="1"/>
      <c r="B892" s="1"/>
      <c r="C892" s="2"/>
      <c r="D892" s="143"/>
      <c r="E892" s="1"/>
      <c r="F892" s="1"/>
      <c r="G892" s="1"/>
      <c r="H892" s="1"/>
      <c r="I892" s="1"/>
      <c r="J892" s="1"/>
      <c r="K892" s="1"/>
      <c r="L892" s="1"/>
      <c r="M892" s="3"/>
      <c r="N892" s="3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</row>
    <row r="893" spans="1:34" ht="18" customHeight="1" x14ac:dyDescent="0.25">
      <c r="A893" s="1"/>
      <c r="B893" s="1"/>
      <c r="C893" s="2"/>
      <c r="D893" s="143"/>
      <c r="E893" s="1"/>
      <c r="F893" s="1"/>
      <c r="G893" s="1"/>
      <c r="H893" s="1"/>
      <c r="I893" s="1"/>
      <c r="J893" s="1"/>
      <c r="K893" s="1"/>
      <c r="L893" s="1"/>
      <c r="M893" s="3"/>
      <c r="N893" s="3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</row>
    <row r="894" spans="1:34" ht="18" customHeight="1" x14ac:dyDescent="0.25">
      <c r="A894" s="1"/>
      <c r="B894" s="1"/>
      <c r="C894" s="2"/>
      <c r="D894" s="143"/>
      <c r="E894" s="1"/>
      <c r="F894" s="1"/>
      <c r="G894" s="1"/>
      <c r="H894" s="1"/>
      <c r="I894" s="1"/>
      <c r="J894" s="1"/>
      <c r="K894" s="1"/>
      <c r="L894" s="1"/>
      <c r="M894" s="3"/>
      <c r="N894" s="3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</row>
    <row r="895" spans="1:34" ht="18" customHeight="1" x14ac:dyDescent="0.25">
      <c r="A895" s="1"/>
      <c r="B895" s="1"/>
      <c r="C895" s="2"/>
      <c r="D895" s="143"/>
      <c r="E895" s="1"/>
      <c r="F895" s="1"/>
      <c r="G895" s="1"/>
      <c r="H895" s="1"/>
      <c r="I895" s="1"/>
      <c r="J895" s="1"/>
      <c r="K895" s="1"/>
      <c r="L895" s="1"/>
      <c r="M895" s="3"/>
      <c r="N895" s="3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</row>
    <row r="896" spans="1:34" ht="18" customHeight="1" x14ac:dyDescent="0.25">
      <c r="A896" s="1"/>
      <c r="B896" s="1"/>
      <c r="C896" s="2"/>
      <c r="D896" s="143"/>
      <c r="E896" s="1"/>
      <c r="F896" s="1"/>
      <c r="G896" s="1"/>
      <c r="H896" s="1"/>
      <c r="I896" s="1"/>
      <c r="J896" s="1"/>
      <c r="K896" s="1"/>
      <c r="L896" s="1"/>
      <c r="M896" s="3"/>
      <c r="N896" s="3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</row>
    <row r="897" spans="1:34" ht="18" customHeight="1" x14ac:dyDescent="0.25">
      <c r="A897" s="1"/>
      <c r="B897" s="1"/>
      <c r="C897" s="2"/>
      <c r="D897" s="143"/>
      <c r="E897" s="1"/>
      <c r="F897" s="1"/>
      <c r="G897" s="1"/>
      <c r="H897" s="1"/>
      <c r="I897" s="1"/>
      <c r="J897" s="1"/>
      <c r="K897" s="1"/>
      <c r="L897" s="1"/>
      <c r="M897" s="3"/>
      <c r="N897" s="3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</row>
    <row r="898" spans="1:34" ht="18" customHeight="1" x14ac:dyDescent="0.25">
      <c r="A898" s="1"/>
      <c r="B898" s="1"/>
      <c r="C898" s="2"/>
      <c r="D898" s="143"/>
      <c r="E898" s="1"/>
      <c r="F898" s="1"/>
      <c r="G898" s="1"/>
      <c r="H898" s="1"/>
      <c r="I898" s="1"/>
      <c r="J898" s="1"/>
      <c r="K898" s="1"/>
      <c r="L898" s="1"/>
      <c r="M898" s="3"/>
      <c r="N898" s="3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</row>
    <row r="899" spans="1:34" ht="18" customHeight="1" x14ac:dyDescent="0.25">
      <c r="A899" s="1"/>
      <c r="B899" s="1"/>
      <c r="C899" s="2"/>
      <c r="D899" s="143"/>
      <c r="E899" s="1"/>
      <c r="F899" s="1"/>
      <c r="G899" s="1"/>
      <c r="H899" s="1"/>
      <c r="I899" s="1"/>
      <c r="J899" s="1"/>
      <c r="K899" s="1"/>
      <c r="L899" s="1"/>
      <c r="M899" s="3"/>
      <c r="N899" s="3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</row>
    <row r="900" spans="1:34" ht="18" customHeight="1" x14ac:dyDescent="0.25">
      <c r="A900" s="1"/>
      <c r="B900" s="1"/>
      <c r="C900" s="2"/>
      <c r="D900" s="143"/>
      <c r="E900" s="1"/>
      <c r="F900" s="1"/>
      <c r="G900" s="1"/>
      <c r="H900" s="1"/>
      <c r="I900" s="1"/>
      <c r="J900" s="1"/>
      <c r="K900" s="1"/>
      <c r="L900" s="1"/>
      <c r="M900" s="3"/>
      <c r="N900" s="3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</row>
    <row r="901" spans="1:34" ht="18" customHeight="1" x14ac:dyDescent="0.25">
      <c r="A901" s="1"/>
      <c r="B901" s="1"/>
      <c r="C901" s="2"/>
      <c r="D901" s="143"/>
      <c r="E901" s="1"/>
      <c r="F901" s="1"/>
      <c r="G901" s="1"/>
      <c r="H901" s="1"/>
      <c r="I901" s="1"/>
      <c r="J901" s="1"/>
      <c r="K901" s="1"/>
      <c r="L901" s="1"/>
      <c r="M901" s="3"/>
      <c r="N901" s="3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</row>
    <row r="902" spans="1:34" ht="18" customHeight="1" x14ac:dyDescent="0.25">
      <c r="A902" s="1"/>
      <c r="B902" s="1"/>
      <c r="C902" s="2"/>
      <c r="D902" s="143"/>
      <c r="E902" s="1"/>
      <c r="F902" s="1"/>
      <c r="G902" s="1"/>
      <c r="H902" s="1"/>
      <c r="I902" s="1"/>
      <c r="J902" s="1"/>
      <c r="K902" s="1"/>
      <c r="L902" s="1"/>
      <c r="M902" s="3"/>
      <c r="N902" s="3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</row>
    <row r="903" spans="1:34" ht="18" customHeight="1" x14ac:dyDescent="0.25">
      <c r="A903" s="1"/>
      <c r="B903" s="1"/>
      <c r="C903" s="2"/>
      <c r="D903" s="143"/>
      <c r="E903" s="1"/>
      <c r="F903" s="1"/>
      <c r="G903" s="1"/>
      <c r="H903" s="1"/>
      <c r="I903" s="1"/>
      <c r="J903" s="1"/>
      <c r="K903" s="1"/>
      <c r="L903" s="1"/>
      <c r="M903" s="3"/>
      <c r="N903" s="3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</row>
    <row r="904" spans="1:34" ht="18" customHeight="1" x14ac:dyDescent="0.25">
      <c r="A904" s="1"/>
      <c r="B904" s="1"/>
      <c r="C904" s="2"/>
      <c r="D904" s="143"/>
      <c r="E904" s="1"/>
      <c r="F904" s="1"/>
      <c r="G904" s="1"/>
      <c r="H904" s="1"/>
      <c r="I904" s="1"/>
      <c r="J904" s="1"/>
      <c r="K904" s="1"/>
      <c r="L904" s="1"/>
      <c r="M904" s="3"/>
      <c r="N904" s="3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</row>
    <row r="905" spans="1:34" ht="18" customHeight="1" x14ac:dyDescent="0.25">
      <c r="A905" s="1"/>
      <c r="B905" s="1"/>
      <c r="C905" s="2"/>
      <c r="D905" s="143"/>
      <c r="E905" s="1"/>
      <c r="F905" s="1"/>
      <c r="G905" s="1"/>
      <c r="H905" s="1"/>
      <c r="I905" s="1"/>
      <c r="J905" s="1"/>
      <c r="K905" s="1"/>
      <c r="L905" s="1"/>
      <c r="M905" s="3"/>
      <c r="N905" s="3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</row>
    <row r="906" spans="1:34" ht="18" customHeight="1" x14ac:dyDescent="0.25">
      <c r="A906" s="1"/>
      <c r="B906" s="1"/>
      <c r="C906" s="2"/>
      <c r="D906" s="143"/>
      <c r="E906" s="1"/>
      <c r="F906" s="1"/>
      <c r="G906" s="1"/>
      <c r="H906" s="1"/>
      <c r="I906" s="1"/>
      <c r="J906" s="1"/>
      <c r="K906" s="1"/>
      <c r="L906" s="1"/>
      <c r="M906" s="3"/>
      <c r="N906" s="3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</row>
    <row r="907" spans="1:34" ht="18" customHeight="1" x14ac:dyDescent="0.25">
      <c r="A907" s="1"/>
      <c r="B907" s="1"/>
      <c r="C907" s="2"/>
      <c r="D907" s="143"/>
      <c r="E907" s="1"/>
      <c r="F907" s="1"/>
      <c r="G907" s="1"/>
      <c r="H907" s="1"/>
      <c r="I907" s="1"/>
      <c r="J907" s="1"/>
      <c r="K907" s="1"/>
      <c r="L907" s="1"/>
      <c r="M907" s="3"/>
      <c r="N907" s="3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</row>
    <row r="908" spans="1:34" ht="18" customHeight="1" x14ac:dyDescent="0.25">
      <c r="A908" s="1"/>
      <c r="B908" s="1"/>
      <c r="C908" s="2"/>
      <c r="D908" s="143"/>
      <c r="E908" s="1"/>
      <c r="F908" s="1"/>
      <c r="G908" s="1"/>
      <c r="H908" s="1"/>
      <c r="I908" s="1"/>
      <c r="J908" s="1"/>
      <c r="K908" s="1"/>
      <c r="L908" s="1"/>
      <c r="M908" s="3"/>
      <c r="N908" s="3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</row>
    <row r="909" spans="1:34" ht="18" customHeight="1" x14ac:dyDescent="0.25">
      <c r="A909" s="1"/>
      <c r="B909" s="1"/>
      <c r="C909" s="2"/>
      <c r="D909" s="143"/>
      <c r="E909" s="1"/>
      <c r="F909" s="1"/>
      <c r="G909" s="1"/>
      <c r="H909" s="1"/>
      <c r="I909" s="1"/>
      <c r="J909" s="1"/>
      <c r="K909" s="1"/>
      <c r="L909" s="1"/>
      <c r="M909" s="3"/>
      <c r="N909" s="3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</row>
    <row r="910" spans="1:34" ht="18" customHeight="1" x14ac:dyDescent="0.25">
      <c r="A910" s="1"/>
      <c r="B910" s="1"/>
      <c r="C910" s="2"/>
      <c r="D910" s="143"/>
      <c r="E910" s="1"/>
      <c r="F910" s="1"/>
      <c r="G910" s="1"/>
      <c r="H910" s="1"/>
      <c r="I910" s="1"/>
      <c r="J910" s="1"/>
      <c r="K910" s="1"/>
      <c r="L910" s="1"/>
      <c r="M910" s="3"/>
      <c r="N910" s="3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</row>
    <row r="911" spans="1:34" ht="18" customHeight="1" x14ac:dyDescent="0.25">
      <c r="A911" s="1"/>
      <c r="B911" s="1"/>
      <c r="C911" s="2"/>
      <c r="D911" s="143"/>
      <c r="E911" s="1"/>
      <c r="F911" s="1"/>
      <c r="G911" s="1"/>
      <c r="H911" s="1"/>
      <c r="I911" s="1"/>
      <c r="J911" s="1"/>
      <c r="K911" s="1"/>
      <c r="L911" s="1"/>
      <c r="M911" s="3"/>
      <c r="N911" s="3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</row>
    <row r="912" spans="1:34" ht="18" customHeight="1" x14ac:dyDescent="0.25">
      <c r="A912" s="1"/>
      <c r="B912" s="1"/>
      <c r="C912" s="2"/>
      <c r="D912" s="143"/>
      <c r="E912" s="1"/>
      <c r="F912" s="1"/>
      <c r="G912" s="1"/>
      <c r="H912" s="1"/>
      <c r="I912" s="1"/>
      <c r="J912" s="1"/>
      <c r="K912" s="1"/>
      <c r="L912" s="1"/>
      <c r="M912" s="3"/>
      <c r="N912" s="3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</row>
    <row r="913" spans="1:34" ht="18" customHeight="1" x14ac:dyDescent="0.25">
      <c r="A913" s="1"/>
      <c r="B913" s="1"/>
      <c r="C913" s="2"/>
      <c r="D913" s="143"/>
      <c r="E913" s="1"/>
      <c r="F913" s="1"/>
      <c r="G913" s="1"/>
      <c r="H913" s="1"/>
      <c r="I913" s="1"/>
      <c r="J913" s="1"/>
      <c r="K913" s="1"/>
      <c r="L913" s="1"/>
      <c r="M913" s="3"/>
      <c r="N913" s="3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</row>
    <row r="914" spans="1:34" ht="18" customHeight="1" x14ac:dyDescent="0.25">
      <c r="A914" s="1"/>
      <c r="B914" s="1"/>
      <c r="C914" s="2"/>
      <c r="D914" s="143"/>
      <c r="E914" s="1"/>
      <c r="F914" s="1"/>
      <c r="G914" s="1"/>
      <c r="H914" s="1"/>
      <c r="I914" s="1"/>
      <c r="J914" s="1"/>
      <c r="K914" s="1"/>
      <c r="L914" s="1"/>
      <c r="M914" s="3"/>
      <c r="N914" s="3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</row>
    <row r="915" spans="1:34" ht="18" customHeight="1" x14ac:dyDescent="0.25">
      <c r="A915" s="1"/>
      <c r="B915" s="1"/>
      <c r="C915" s="2"/>
      <c r="D915" s="143"/>
      <c r="E915" s="1"/>
      <c r="F915" s="1"/>
      <c r="G915" s="1"/>
      <c r="H915" s="1"/>
      <c r="I915" s="1"/>
      <c r="J915" s="1"/>
      <c r="K915" s="1"/>
      <c r="L915" s="1"/>
      <c r="M915" s="3"/>
      <c r="N915" s="3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</row>
    <row r="916" spans="1:34" ht="18" customHeight="1" x14ac:dyDescent="0.25">
      <c r="A916" s="1"/>
      <c r="B916" s="1"/>
      <c r="C916" s="2"/>
      <c r="D916" s="143"/>
      <c r="E916" s="1"/>
      <c r="F916" s="1"/>
      <c r="G916" s="1"/>
      <c r="H916" s="1"/>
      <c r="I916" s="1"/>
      <c r="J916" s="1"/>
      <c r="K916" s="1"/>
      <c r="L916" s="1"/>
      <c r="M916" s="3"/>
      <c r="N916" s="3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</row>
    <row r="917" spans="1:34" ht="18" customHeight="1" x14ac:dyDescent="0.25">
      <c r="A917" s="1"/>
      <c r="B917" s="1"/>
      <c r="C917" s="2"/>
      <c r="D917" s="143"/>
      <c r="E917" s="1"/>
      <c r="F917" s="1"/>
      <c r="G917" s="1"/>
      <c r="H917" s="1"/>
      <c r="I917" s="1"/>
      <c r="J917" s="1"/>
      <c r="K917" s="1"/>
      <c r="L917" s="1"/>
      <c r="M917" s="3"/>
      <c r="N917" s="3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</row>
    <row r="918" spans="1:34" ht="18" customHeight="1" x14ac:dyDescent="0.25">
      <c r="A918" s="1"/>
      <c r="B918" s="1"/>
      <c r="C918" s="2"/>
      <c r="D918" s="143"/>
      <c r="E918" s="1"/>
      <c r="F918" s="1"/>
      <c r="G918" s="1"/>
      <c r="H918" s="1"/>
      <c r="I918" s="1"/>
      <c r="J918" s="1"/>
      <c r="K918" s="1"/>
      <c r="L918" s="1"/>
      <c r="M918" s="3"/>
      <c r="N918" s="3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</row>
    <row r="919" spans="1:34" ht="18" customHeight="1" x14ac:dyDescent="0.25">
      <c r="A919" s="1"/>
      <c r="B919" s="1"/>
      <c r="C919" s="2"/>
      <c r="D919" s="143"/>
      <c r="E919" s="1"/>
      <c r="F919" s="1"/>
      <c r="G919" s="1"/>
      <c r="H919" s="1"/>
      <c r="I919" s="1"/>
      <c r="J919" s="1"/>
      <c r="K919" s="1"/>
      <c r="L919" s="1"/>
      <c r="M919" s="3"/>
      <c r="N919" s="3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</row>
    <row r="920" spans="1:34" ht="18" customHeight="1" x14ac:dyDescent="0.25">
      <c r="A920" s="1"/>
      <c r="B920" s="1"/>
      <c r="C920" s="2"/>
      <c r="D920" s="143"/>
      <c r="E920" s="1"/>
      <c r="F920" s="1"/>
      <c r="G920" s="1"/>
      <c r="H920" s="1"/>
      <c r="I920" s="1"/>
      <c r="J920" s="1"/>
      <c r="K920" s="1"/>
      <c r="L920" s="1"/>
      <c r="M920" s="3"/>
      <c r="N920" s="3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</row>
    <row r="921" spans="1:34" ht="18" customHeight="1" x14ac:dyDescent="0.25">
      <c r="A921" s="1"/>
      <c r="B921" s="1"/>
      <c r="C921" s="2"/>
      <c r="D921" s="143"/>
      <c r="E921" s="1"/>
      <c r="F921" s="1"/>
      <c r="G921" s="1"/>
      <c r="H921" s="1"/>
      <c r="I921" s="1"/>
      <c r="J921" s="1"/>
      <c r="K921" s="1"/>
      <c r="L921" s="1"/>
      <c r="M921" s="3"/>
      <c r="N921" s="3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</row>
    <row r="922" spans="1:34" ht="18" customHeight="1" x14ac:dyDescent="0.25">
      <c r="A922" s="1"/>
      <c r="B922" s="1"/>
      <c r="C922" s="2"/>
      <c r="D922" s="143"/>
      <c r="E922" s="1"/>
      <c r="F922" s="1"/>
      <c r="G922" s="1"/>
      <c r="H922" s="1"/>
      <c r="I922" s="1"/>
      <c r="J922" s="1"/>
      <c r="K922" s="1"/>
      <c r="L922" s="1"/>
      <c r="M922" s="3"/>
      <c r="N922" s="3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</row>
    <row r="923" spans="1:34" ht="18" customHeight="1" x14ac:dyDescent="0.25">
      <c r="A923" s="1"/>
      <c r="B923" s="1"/>
      <c r="C923" s="2"/>
      <c r="D923" s="143"/>
      <c r="E923" s="1"/>
      <c r="F923" s="1"/>
      <c r="G923" s="1"/>
      <c r="H923" s="1"/>
      <c r="I923" s="1"/>
      <c r="J923" s="1"/>
      <c r="K923" s="1"/>
      <c r="L923" s="1"/>
      <c r="M923" s="3"/>
      <c r="N923" s="3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</row>
    <row r="924" spans="1:34" ht="18" customHeight="1" x14ac:dyDescent="0.25">
      <c r="A924" s="1"/>
      <c r="B924" s="1"/>
      <c r="C924" s="2"/>
      <c r="D924" s="143"/>
      <c r="E924" s="1"/>
      <c r="F924" s="1"/>
      <c r="G924" s="1"/>
      <c r="H924" s="1"/>
      <c r="I924" s="1"/>
      <c r="J924" s="1"/>
      <c r="K924" s="1"/>
      <c r="L924" s="1"/>
      <c r="M924" s="3"/>
      <c r="N924" s="3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</row>
    <row r="925" spans="1:34" ht="18" customHeight="1" x14ac:dyDescent="0.25">
      <c r="A925" s="1"/>
      <c r="B925" s="1"/>
      <c r="C925" s="2"/>
      <c r="D925" s="143"/>
      <c r="E925" s="1"/>
      <c r="F925" s="1"/>
      <c r="G925" s="1"/>
      <c r="H925" s="1"/>
      <c r="I925" s="1"/>
      <c r="J925" s="1"/>
      <c r="K925" s="1"/>
      <c r="L925" s="1"/>
      <c r="M925" s="3"/>
      <c r="N925" s="3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</row>
    <row r="926" spans="1:34" ht="18" customHeight="1" x14ac:dyDescent="0.25">
      <c r="A926" s="1"/>
      <c r="B926" s="1"/>
      <c r="C926" s="2"/>
      <c r="D926" s="143"/>
      <c r="E926" s="1"/>
      <c r="F926" s="1"/>
      <c r="G926" s="1"/>
      <c r="H926" s="1"/>
      <c r="I926" s="1"/>
      <c r="J926" s="1"/>
      <c r="K926" s="1"/>
      <c r="L926" s="1"/>
      <c r="M926" s="3"/>
      <c r="N926" s="3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</row>
    <row r="927" spans="1:34" ht="18" customHeight="1" x14ac:dyDescent="0.25">
      <c r="A927" s="1"/>
      <c r="B927" s="1"/>
      <c r="C927" s="2"/>
      <c r="D927" s="143"/>
      <c r="E927" s="1"/>
      <c r="F927" s="1"/>
      <c r="G927" s="1"/>
      <c r="H927" s="1"/>
      <c r="I927" s="1"/>
      <c r="J927" s="1"/>
      <c r="K927" s="1"/>
      <c r="L927" s="1"/>
      <c r="M927" s="3"/>
      <c r="N927" s="3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</row>
    <row r="928" spans="1:34" ht="18" customHeight="1" x14ac:dyDescent="0.25">
      <c r="A928" s="1"/>
      <c r="B928" s="1"/>
      <c r="C928" s="2"/>
      <c r="D928" s="143"/>
      <c r="E928" s="1"/>
      <c r="F928" s="1"/>
      <c r="G928" s="1"/>
      <c r="H928" s="1"/>
      <c r="I928" s="1"/>
      <c r="J928" s="1"/>
      <c r="K928" s="1"/>
      <c r="L928" s="1"/>
      <c r="M928" s="3"/>
      <c r="N928" s="3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</row>
    <row r="929" spans="1:34" ht="18" customHeight="1" x14ac:dyDescent="0.25">
      <c r="A929" s="1"/>
      <c r="B929" s="1"/>
      <c r="C929" s="2"/>
      <c r="D929" s="143"/>
      <c r="E929" s="1"/>
      <c r="F929" s="1"/>
      <c r="G929" s="1"/>
      <c r="H929" s="1"/>
      <c r="I929" s="1"/>
      <c r="J929" s="1"/>
      <c r="K929" s="1"/>
      <c r="L929" s="1"/>
      <c r="M929" s="3"/>
      <c r="N929" s="3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</row>
    <row r="930" spans="1:34" ht="18" customHeight="1" x14ac:dyDescent="0.25">
      <c r="A930" s="1"/>
      <c r="B930" s="1"/>
      <c r="C930" s="2"/>
      <c r="D930" s="143"/>
      <c r="E930" s="1"/>
      <c r="F930" s="1"/>
      <c r="G930" s="1"/>
      <c r="H930" s="1"/>
      <c r="I930" s="1"/>
      <c r="J930" s="1"/>
      <c r="K930" s="1"/>
      <c r="L930" s="1"/>
      <c r="M930" s="3"/>
      <c r="N930" s="3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</row>
    <row r="931" spans="1:34" ht="18" customHeight="1" x14ac:dyDescent="0.25">
      <c r="A931" s="1"/>
      <c r="B931" s="1"/>
      <c r="C931" s="2"/>
      <c r="D931" s="143"/>
      <c r="E931" s="1"/>
      <c r="F931" s="1"/>
      <c r="G931" s="1"/>
      <c r="H931" s="1"/>
      <c r="I931" s="1"/>
      <c r="J931" s="1"/>
      <c r="K931" s="1"/>
      <c r="L931" s="1"/>
      <c r="M931" s="3"/>
      <c r="N931" s="3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</row>
    <row r="932" spans="1:34" ht="18" customHeight="1" x14ac:dyDescent="0.25">
      <c r="A932" s="1"/>
      <c r="B932" s="1"/>
      <c r="C932" s="2"/>
      <c r="D932" s="143"/>
      <c r="E932" s="1"/>
      <c r="F932" s="1"/>
      <c r="G932" s="1"/>
      <c r="H932" s="1"/>
      <c r="I932" s="1"/>
      <c r="J932" s="1"/>
      <c r="K932" s="1"/>
      <c r="L932" s="1"/>
      <c r="M932" s="3"/>
      <c r="N932" s="3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</row>
    <row r="933" spans="1:34" ht="18" customHeight="1" x14ac:dyDescent="0.25">
      <c r="A933" s="1"/>
      <c r="B933" s="1"/>
      <c r="C933" s="2"/>
      <c r="D933" s="143"/>
      <c r="E933" s="1"/>
      <c r="F933" s="1"/>
      <c r="G933" s="1"/>
      <c r="H933" s="1"/>
      <c r="I933" s="1"/>
      <c r="J933" s="1"/>
      <c r="K933" s="1"/>
      <c r="L933" s="1"/>
      <c r="M933" s="3"/>
      <c r="N933" s="3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</row>
    <row r="934" spans="1:34" ht="18" customHeight="1" x14ac:dyDescent="0.25">
      <c r="A934" s="1"/>
      <c r="B934" s="1"/>
      <c r="C934" s="2"/>
      <c r="D934" s="143"/>
      <c r="E934" s="1"/>
      <c r="F934" s="1"/>
      <c r="G934" s="1"/>
      <c r="H934" s="1"/>
      <c r="I934" s="1"/>
      <c r="J934" s="1"/>
      <c r="K934" s="1"/>
      <c r="L934" s="1"/>
      <c r="M934" s="3"/>
      <c r="N934" s="3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</row>
    <row r="935" spans="1:34" ht="18" customHeight="1" x14ac:dyDescent="0.25">
      <c r="A935" s="1"/>
      <c r="B935" s="1"/>
      <c r="C935" s="2"/>
      <c r="D935" s="143"/>
      <c r="E935" s="1"/>
      <c r="F935" s="1"/>
      <c r="G935" s="1"/>
      <c r="H935" s="1"/>
      <c r="I935" s="1"/>
      <c r="J935" s="1"/>
      <c r="K935" s="1"/>
      <c r="L935" s="1"/>
      <c r="M935" s="3"/>
      <c r="N935" s="3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</row>
    <row r="936" spans="1:34" ht="18" customHeight="1" x14ac:dyDescent="0.25">
      <c r="A936" s="1"/>
      <c r="B936" s="1"/>
      <c r="C936" s="2"/>
      <c r="D936" s="143"/>
      <c r="E936" s="1"/>
      <c r="F936" s="1"/>
      <c r="G936" s="1"/>
      <c r="H936" s="1"/>
      <c r="I936" s="1"/>
      <c r="J936" s="1"/>
      <c r="K936" s="1"/>
      <c r="L936" s="1"/>
      <c r="M936" s="3"/>
      <c r="N936" s="3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</row>
    <row r="937" spans="1:34" ht="18" customHeight="1" x14ac:dyDescent="0.25">
      <c r="A937" s="1"/>
      <c r="B937" s="1"/>
      <c r="C937" s="2"/>
      <c r="D937" s="143"/>
      <c r="E937" s="1"/>
      <c r="F937" s="1"/>
      <c r="G937" s="1"/>
      <c r="H937" s="1"/>
      <c r="I937" s="1"/>
      <c r="J937" s="1"/>
      <c r="K937" s="1"/>
      <c r="L937" s="1"/>
      <c r="M937" s="3"/>
      <c r="N937" s="3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</row>
    <row r="938" spans="1:34" ht="18" customHeight="1" x14ac:dyDescent="0.25">
      <c r="A938" s="1"/>
      <c r="B938" s="1"/>
      <c r="C938" s="2"/>
      <c r="D938" s="143"/>
      <c r="E938" s="1"/>
      <c r="F938" s="1"/>
      <c r="G938" s="1"/>
      <c r="H938" s="1"/>
      <c r="I938" s="1"/>
      <c r="J938" s="1"/>
      <c r="K938" s="1"/>
      <c r="L938" s="1"/>
      <c r="M938" s="3"/>
      <c r="N938" s="3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</row>
    <row r="939" spans="1:34" ht="18" customHeight="1" x14ac:dyDescent="0.25">
      <c r="A939" s="1"/>
      <c r="B939" s="1"/>
      <c r="C939" s="2"/>
      <c r="D939" s="143"/>
      <c r="E939" s="1"/>
      <c r="F939" s="1"/>
      <c r="G939" s="1"/>
      <c r="H939" s="1"/>
      <c r="I939" s="1"/>
      <c r="J939" s="1"/>
      <c r="K939" s="1"/>
      <c r="L939" s="1"/>
      <c r="M939" s="3"/>
      <c r="N939" s="3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</row>
    <row r="940" spans="1:34" ht="18" customHeight="1" x14ac:dyDescent="0.25">
      <c r="A940" s="1"/>
      <c r="B940" s="1"/>
      <c r="C940" s="2"/>
      <c r="D940" s="143"/>
      <c r="E940" s="1"/>
      <c r="F940" s="1"/>
      <c r="G940" s="1"/>
      <c r="H940" s="1"/>
      <c r="I940" s="1"/>
      <c r="J940" s="1"/>
      <c r="K940" s="1"/>
      <c r="L940" s="1"/>
      <c r="M940" s="3"/>
      <c r="N940" s="3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</row>
    <row r="941" spans="1:34" ht="18" customHeight="1" x14ac:dyDescent="0.25">
      <c r="A941" s="1"/>
      <c r="B941" s="1"/>
      <c r="C941" s="2"/>
      <c r="D941" s="143"/>
      <c r="E941" s="1"/>
      <c r="F941" s="1"/>
      <c r="G941" s="1"/>
      <c r="H941" s="1"/>
      <c r="I941" s="1"/>
      <c r="J941" s="1"/>
      <c r="K941" s="1"/>
      <c r="L941" s="1"/>
      <c r="M941" s="3"/>
      <c r="N941" s="3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</row>
    <row r="942" spans="1:34" ht="18" customHeight="1" x14ac:dyDescent="0.25">
      <c r="A942" s="1"/>
      <c r="B942" s="1"/>
      <c r="C942" s="2"/>
      <c r="D942" s="143"/>
      <c r="E942" s="1"/>
      <c r="F942" s="1"/>
      <c r="G942" s="1"/>
      <c r="H942" s="1"/>
      <c r="I942" s="1"/>
      <c r="J942" s="1"/>
      <c r="K942" s="1"/>
      <c r="L942" s="1"/>
      <c r="M942" s="3"/>
      <c r="N942" s="3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</row>
    <row r="943" spans="1:34" ht="18" customHeight="1" x14ac:dyDescent="0.25">
      <c r="A943" s="1"/>
      <c r="B943" s="1"/>
      <c r="C943" s="2"/>
      <c r="D943" s="143"/>
      <c r="E943" s="1"/>
      <c r="F943" s="1"/>
      <c r="G943" s="1"/>
      <c r="H943" s="1"/>
      <c r="I943" s="1"/>
      <c r="J943" s="1"/>
      <c r="K943" s="1"/>
      <c r="L943" s="1"/>
      <c r="M943" s="3"/>
      <c r="N943" s="3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</row>
    <row r="944" spans="1:34" ht="18" customHeight="1" x14ac:dyDescent="0.25">
      <c r="A944" s="1"/>
      <c r="B944" s="1"/>
      <c r="C944" s="2"/>
      <c r="D944" s="143"/>
      <c r="E944" s="1"/>
      <c r="F944" s="1"/>
      <c r="G944" s="1"/>
      <c r="H944" s="1"/>
      <c r="I944" s="1"/>
      <c r="J944" s="1"/>
      <c r="K944" s="1"/>
      <c r="L944" s="1"/>
      <c r="M944" s="3"/>
      <c r="N944" s="3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</row>
    <row r="945" spans="1:34" ht="18" customHeight="1" x14ac:dyDescent="0.25">
      <c r="A945" s="1"/>
      <c r="B945" s="1"/>
      <c r="C945" s="2"/>
      <c r="D945" s="143"/>
      <c r="E945" s="1"/>
      <c r="F945" s="1"/>
      <c r="G945" s="1"/>
      <c r="H945" s="1"/>
      <c r="I945" s="1"/>
      <c r="J945" s="1"/>
      <c r="K945" s="1"/>
      <c r="L945" s="1"/>
      <c r="M945" s="3"/>
      <c r="N945" s="3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</row>
    <row r="946" spans="1:34" ht="18" customHeight="1" x14ac:dyDescent="0.25">
      <c r="A946" s="1"/>
      <c r="B946" s="1"/>
      <c r="C946" s="2"/>
      <c r="D946" s="143"/>
      <c r="E946" s="1"/>
      <c r="F946" s="1"/>
      <c r="G946" s="1"/>
      <c r="H946" s="1"/>
      <c r="I946" s="1"/>
      <c r="J946" s="1"/>
      <c r="K946" s="1"/>
      <c r="L946" s="1"/>
      <c r="M946" s="3"/>
      <c r="N946" s="3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</row>
    <row r="947" spans="1:34" ht="18" customHeight="1" x14ac:dyDescent="0.25">
      <c r="A947" s="1"/>
      <c r="B947" s="1"/>
      <c r="C947" s="2"/>
      <c r="D947" s="143"/>
      <c r="E947" s="1"/>
      <c r="F947" s="1"/>
      <c r="G947" s="1"/>
      <c r="H947" s="1"/>
      <c r="I947" s="1"/>
      <c r="J947" s="1"/>
      <c r="K947" s="1"/>
      <c r="L947" s="1"/>
      <c r="M947" s="3"/>
      <c r="N947" s="3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</row>
    <row r="948" spans="1:34" ht="18" customHeight="1" x14ac:dyDescent="0.25">
      <c r="A948" s="1"/>
      <c r="B948" s="1"/>
      <c r="C948" s="2"/>
      <c r="D948" s="143"/>
      <c r="E948" s="1"/>
      <c r="F948" s="1"/>
      <c r="G948" s="1"/>
      <c r="H948" s="1"/>
      <c r="I948" s="1"/>
      <c r="J948" s="1"/>
      <c r="K948" s="1"/>
      <c r="L948" s="1"/>
      <c r="M948" s="3"/>
      <c r="N948" s="3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</row>
    <row r="949" spans="1:34" ht="18" customHeight="1" x14ac:dyDescent="0.25">
      <c r="A949" s="1"/>
      <c r="B949" s="1"/>
      <c r="C949" s="2"/>
      <c r="D949" s="143"/>
      <c r="E949" s="1"/>
      <c r="F949" s="1"/>
      <c r="G949" s="1"/>
      <c r="H949" s="1"/>
      <c r="I949" s="1"/>
      <c r="J949" s="1"/>
      <c r="K949" s="1"/>
      <c r="L949" s="1"/>
      <c r="M949" s="3"/>
      <c r="N949" s="3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</row>
    <row r="950" spans="1:34" ht="18" customHeight="1" x14ac:dyDescent="0.25">
      <c r="A950" s="1"/>
      <c r="B950" s="1"/>
      <c r="C950" s="2"/>
      <c r="D950" s="143"/>
      <c r="E950" s="1"/>
      <c r="F950" s="1"/>
      <c r="G950" s="1"/>
      <c r="H950" s="1"/>
      <c r="I950" s="1"/>
      <c r="J950" s="1"/>
      <c r="K950" s="1"/>
      <c r="L950" s="1"/>
      <c r="M950" s="3"/>
      <c r="N950" s="3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</row>
    <row r="951" spans="1:34" ht="18" customHeight="1" x14ac:dyDescent="0.25">
      <c r="A951" s="1"/>
      <c r="B951" s="1"/>
      <c r="C951" s="2"/>
      <c r="D951" s="143"/>
      <c r="E951" s="1"/>
      <c r="F951" s="1"/>
      <c r="G951" s="1"/>
      <c r="H951" s="1"/>
      <c r="I951" s="1"/>
      <c r="J951" s="1"/>
      <c r="K951" s="1"/>
      <c r="L951" s="1"/>
      <c r="M951" s="3"/>
      <c r="N951" s="3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</row>
    <row r="952" spans="1:34" ht="18" customHeight="1" x14ac:dyDescent="0.25">
      <c r="A952" s="1"/>
      <c r="B952" s="1"/>
      <c r="C952" s="2"/>
      <c r="D952" s="143"/>
      <c r="E952" s="1"/>
      <c r="F952" s="1"/>
      <c r="G952" s="1"/>
      <c r="H952" s="1"/>
      <c r="I952" s="1"/>
      <c r="J952" s="1"/>
      <c r="K952" s="1"/>
      <c r="L952" s="1"/>
      <c r="M952" s="3"/>
      <c r="N952" s="3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</row>
    <row r="953" spans="1:34" ht="18" customHeight="1" x14ac:dyDescent="0.25">
      <c r="A953" s="1"/>
      <c r="B953" s="1"/>
      <c r="C953" s="2"/>
      <c r="D953" s="143"/>
      <c r="E953" s="1"/>
      <c r="F953" s="1"/>
      <c r="G953" s="1"/>
      <c r="H953" s="1"/>
      <c r="I953" s="1"/>
      <c r="J953" s="1"/>
      <c r="K953" s="1"/>
      <c r="L953" s="1"/>
      <c r="M953" s="3"/>
      <c r="N953" s="3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</row>
    <row r="954" spans="1:34" ht="18" customHeight="1" x14ac:dyDescent="0.25">
      <c r="A954" s="1"/>
      <c r="B954" s="1"/>
      <c r="C954" s="2"/>
      <c r="D954" s="143"/>
      <c r="E954" s="1"/>
      <c r="F954" s="1"/>
      <c r="G954" s="1"/>
      <c r="H954" s="1"/>
      <c r="I954" s="1"/>
      <c r="J954" s="1"/>
      <c r="K954" s="1"/>
      <c r="L954" s="1"/>
      <c r="M954" s="3"/>
      <c r="N954" s="3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</row>
    <row r="955" spans="1:34" ht="18" customHeight="1" x14ac:dyDescent="0.25">
      <c r="A955" s="1"/>
      <c r="B955" s="1"/>
      <c r="C955" s="2"/>
      <c r="D955" s="143"/>
      <c r="E955" s="1"/>
      <c r="F955" s="1"/>
      <c r="G955" s="1"/>
      <c r="H955" s="1"/>
      <c r="I955" s="1"/>
      <c r="J955" s="1"/>
      <c r="K955" s="1"/>
      <c r="L955" s="1"/>
      <c r="M955" s="3"/>
      <c r="N955" s="3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</row>
    <row r="956" spans="1:34" ht="18" customHeight="1" x14ac:dyDescent="0.25">
      <c r="A956" s="1"/>
      <c r="B956" s="1"/>
      <c r="C956" s="2"/>
      <c r="D956" s="143"/>
      <c r="E956" s="1"/>
      <c r="F956" s="1"/>
      <c r="G956" s="1"/>
      <c r="H956" s="1"/>
      <c r="I956" s="1"/>
      <c r="J956" s="1"/>
      <c r="K956" s="1"/>
      <c r="L956" s="1"/>
      <c r="M956" s="3"/>
      <c r="N956" s="3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</row>
    <row r="957" spans="1:34" ht="18" customHeight="1" x14ac:dyDescent="0.25">
      <c r="A957" s="1"/>
      <c r="B957" s="1"/>
      <c r="C957" s="2"/>
      <c r="D957" s="143"/>
      <c r="E957" s="1"/>
      <c r="F957" s="1"/>
      <c r="G957" s="1"/>
      <c r="H957" s="1"/>
      <c r="I957" s="1"/>
      <c r="J957" s="1"/>
      <c r="K957" s="1"/>
      <c r="L957" s="1"/>
      <c r="M957" s="3"/>
      <c r="N957" s="3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</row>
    <row r="958" spans="1:34" ht="18" customHeight="1" x14ac:dyDescent="0.25">
      <c r="A958" s="1"/>
      <c r="B958" s="1"/>
      <c r="C958" s="2"/>
      <c r="D958" s="143"/>
      <c r="E958" s="1"/>
      <c r="F958" s="1"/>
      <c r="G958" s="1"/>
      <c r="H958" s="1"/>
      <c r="I958" s="1"/>
      <c r="J958" s="1"/>
      <c r="K958" s="1"/>
      <c r="L958" s="1"/>
      <c r="M958" s="3"/>
      <c r="N958" s="3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</row>
    <row r="959" spans="1:34" ht="18" customHeight="1" x14ac:dyDescent="0.25">
      <c r="A959" s="1"/>
      <c r="B959" s="1"/>
      <c r="C959" s="2"/>
      <c r="D959" s="143"/>
      <c r="E959" s="1"/>
      <c r="F959" s="1"/>
      <c r="G959" s="1"/>
      <c r="H959" s="1"/>
      <c r="I959" s="1"/>
      <c r="J959" s="1"/>
      <c r="K959" s="1"/>
      <c r="L959" s="1"/>
      <c r="M959" s="3"/>
      <c r="N959" s="3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</row>
    <row r="960" spans="1:34" ht="18" customHeight="1" x14ac:dyDescent="0.25">
      <c r="A960" s="1"/>
      <c r="B960" s="1"/>
      <c r="C960" s="2"/>
      <c r="D960" s="143"/>
      <c r="E960" s="1"/>
      <c r="F960" s="1"/>
      <c r="G960" s="1"/>
      <c r="H960" s="1"/>
      <c r="I960" s="1"/>
      <c r="J960" s="1"/>
      <c r="K960" s="1"/>
      <c r="L960" s="1"/>
      <c r="M960" s="3"/>
      <c r="N960" s="3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</row>
    <row r="961" spans="1:34" ht="18" customHeight="1" x14ac:dyDescent="0.25">
      <c r="A961" s="1"/>
      <c r="B961" s="1"/>
      <c r="C961" s="2"/>
      <c r="D961" s="143"/>
      <c r="E961" s="1"/>
      <c r="F961" s="1"/>
      <c r="G961" s="1"/>
      <c r="H961" s="1"/>
      <c r="I961" s="1"/>
      <c r="J961" s="1"/>
      <c r="K961" s="1"/>
      <c r="L961" s="1"/>
      <c r="M961" s="3"/>
      <c r="N961" s="3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</row>
    <row r="962" spans="1:34" ht="18" customHeight="1" x14ac:dyDescent="0.25">
      <c r="A962" s="1"/>
      <c r="B962" s="1"/>
      <c r="C962" s="2"/>
      <c r="D962" s="143"/>
      <c r="E962" s="1"/>
      <c r="F962" s="1"/>
      <c r="G962" s="1"/>
      <c r="H962" s="1"/>
      <c r="I962" s="1"/>
      <c r="J962" s="1"/>
      <c r="K962" s="1"/>
      <c r="L962" s="1"/>
      <c r="M962" s="3"/>
      <c r="N962" s="3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</row>
    <row r="963" spans="1:34" ht="18" customHeight="1" x14ac:dyDescent="0.25">
      <c r="A963" s="1"/>
      <c r="B963" s="1"/>
      <c r="C963" s="2"/>
      <c r="D963" s="143"/>
      <c r="E963" s="1"/>
      <c r="F963" s="1"/>
      <c r="G963" s="1"/>
      <c r="H963" s="1"/>
      <c r="I963" s="1"/>
      <c r="J963" s="1"/>
      <c r="K963" s="1"/>
      <c r="L963" s="1"/>
      <c r="M963" s="3"/>
      <c r="N963" s="3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</row>
    <row r="964" spans="1:34" ht="18" customHeight="1" x14ac:dyDescent="0.25">
      <c r="A964" s="1"/>
      <c r="B964" s="1"/>
      <c r="C964" s="2"/>
      <c r="D964" s="143"/>
      <c r="E964" s="1"/>
      <c r="F964" s="1"/>
      <c r="G964" s="1"/>
      <c r="H964" s="1"/>
      <c r="I964" s="1"/>
      <c r="J964" s="1"/>
      <c r="K964" s="1"/>
      <c r="L964" s="1"/>
      <c r="M964" s="3"/>
      <c r="N964" s="3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</row>
    <row r="965" spans="1:34" ht="18" customHeight="1" x14ac:dyDescent="0.25">
      <c r="A965" s="1"/>
      <c r="B965" s="1"/>
      <c r="C965" s="2"/>
      <c r="D965" s="143"/>
      <c r="E965" s="1"/>
      <c r="F965" s="1"/>
      <c r="G965" s="1"/>
      <c r="H965" s="1"/>
      <c r="I965" s="1"/>
      <c r="J965" s="1"/>
      <c r="K965" s="1"/>
      <c r="L965" s="1"/>
      <c r="M965" s="3"/>
      <c r="N965" s="3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</row>
    <row r="966" spans="1:34" ht="18" customHeight="1" x14ac:dyDescent="0.25">
      <c r="A966" s="1"/>
      <c r="B966" s="1"/>
      <c r="C966" s="2"/>
      <c r="D966" s="143"/>
      <c r="E966" s="1"/>
      <c r="F966" s="1"/>
      <c r="G966" s="1"/>
      <c r="H966" s="1"/>
      <c r="I966" s="1"/>
      <c r="J966" s="1"/>
      <c r="K966" s="1"/>
      <c r="L966" s="1"/>
      <c r="M966" s="3"/>
      <c r="N966" s="3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</row>
    <row r="967" spans="1:34" ht="18" customHeight="1" x14ac:dyDescent="0.25">
      <c r="A967" s="1"/>
      <c r="B967" s="1"/>
      <c r="C967" s="2"/>
      <c r="D967" s="143"/>
      <c r="E967" s="1"/>
      <c r="F967" s="1"/>
      <c r="G967" s="1"/>
      <c r="H967" s="1"/>
      <c r="I967" s="1"/>
      <c r="J967" s="1"/>
      <c r="K967" s="1"/>
      <c r="L967" s="1"/>
      <c r="M967" s="3"/>
      <c r="N967" s="3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</row>
    <row r="968" spans="1:34" ht="18" customHeight="1" x14ac:dyDescent="0.25">
      <c r="A968" s="1"/>
      <c r="B968" s="1"/>
      <c r="C968" s="2"/>
      <c r="D968" s="143"/>
      <c r="E968" s="1"/>
      <c r="F968" s="1"/>
      <c r="G968" s="1"/>
      <c r="H968" s="1"/>
      <c r="I968" s="1"/>
      <c r="J968" s="1"/>
      <c r="K968" s="1"/>
      <c r="L968" s="1"/>
      <c r="M968" s="3"/>
      <c r="N968" s="3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</row>
    <row r="969" spans="1:34" ht="18" customHeight="1" x14ac:dyDescent="0.25">
      <c r="A969" s="1"/>
      <c r="B969" s="1"/>
      <c r="C969" s="2"/>
      <c r="D969" s="143"/>
      <c r="E969" s="1"/>
      <c r="F969" s="1"/>
      <c r="G969" s="1"/>
      <c r="H969" s="1"/>
      <c r="I969" s="1"/>
      <c r="J969" s="1"/>
      <c r="K969" s="1"/>
      <c r="L969" s="1"/>
      <c r="M969" s="3"/>
      <c r="N969" s="3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</row>
    <row r="970" spans="1:34" ht="18" customHeight="1" x14ac:dyDescent="0.25">
      <c r="A970" s="1"/>
      <c r="B970" s="1"/>
      <c r="C970" s="2"/>
      <c r="D970" s="143"/>
      <c r="E970" s="1"/>
      <c r="F970" s="1"/>
      <c r="G970" s="1"/>
      <c r="H970" s="1"/>
      <c r="I970" s="1"/>
      <c r="J970" s="1"/>
      <c r="K970" s="1"/>
      <c r="L970" s="1"/>
      <c r="M970" s="3"/>
      <c r="N970" s="3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</row>
    <row r="971" spans="1:34" ht="18" customHeight="1" x14ac:dyDescent="0.25">
      <c r="A971" s="1"/>
      <c r="B971" s="1"/>
      <c r="C971" s="2"/>
      <c r="D971" s="143"/>
      <c r="E971" s="1"/>
      <c r="F971" s="1"/>
      <c r="G971" s="1"/>
      <c r="H971" s="1"/>
      <c r="I971" s="1"/>
      <c r="J971" s="1"/>
      <c r="K971" s="1"/>
      <c r="L971" s="1"/>
      <c r="M971" s="3"/>
      <c r="N971" s="3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</row>
    <row r="972" spans="1:34" ht="18" customHeight="1" x14ac:dyDescent="0.25">
      <c r="A972" s="1"/>
      <c r="B972" s="1"/>
      <c r="C972" s="2"/>
      <c r="D972" s="143"/>
      <c r="E972" s="1"/>
      <c r="F972" s="1"/>
      <c r="G972" s="1"/>
      <c r="H972" s="1"/>
      <c r="I972" s="1"/>
      <c r="J972" s="1"/>
      <c r="K972" s="1"/>
      <c r="L972" s="1"/>
      <c r="M972" s="3"/>
      <c r="N972" s="3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</row>
    <row r="973" spans="1:34" ht="18" customHeight="1" x14ac:dyDescent="0.25">
      <c r="A973" s="1"/>
      <c r="B973" s="1"/>
      <c r="C973" s="2"/>
      <c r="D973" s="143"/>
      <c r="E973" s="1"/>
      <c r="F973" s="1"/>
      <c r="G973" s="1"/>
      <c r="H973" s="1"/>
      <c r="I973" s="1"/>
      <c r="J973" s="1"/>
      <c r="K973" s="1"/>
      <c r="L973" s="1"/>
      <c r="M973" s="3"/>
      <c r="N973" s="3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</row>
    <row r="974" spans="1:34" ht="18" customHeight="1" x14ac:dyDescent="0.25">
      <c r="A974" s="1"/>
      <c r="B974" s="1"/>
      <c r="C974" s="2"/>
      <c r="D974" s="143"/>
      <c r="E974" s="1"/>
      <c r="F974" s="1"/>
      <c r="G974" s="1"/>
      <c r="H974" s="1"/>
      <c r="I974" s="1"/>
      <c r="J974" s="1"/>
      <c r="K974" s="1"/>
      <c r="L974" s="1"/>
      <c r="M974" s="3"/>
      <c r="N974" s="3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</row>
    <row r="975" spans="1:34" ht="18" customHeight="1" x14ac:dyDescent="0.25">
      <c r="A975" s="1"/>
      <c r="B975" s="1"/>
      <c r="C975" s="2"/>
      <c r="D975" s="143"/>
      <c r="E975" s="1"/>
      <c r="F975" s="1"/>
      <c r="G975" s="1"/>
      <c r="H975" s="1"/>
      <c r="I975" s="1"/>
      <c r="J975" s="1"/>
      <c r="K975" s="1"/>
      <c r="L975" s="1"/>
      <c r="M975" s="3"/>
      <c r="N975" s="3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</row>
    <row r="976" spans="1:34" ht="18" customHeight="1" x14ac:dyDescent="0.25">
      <c r="A976" s="1"/>
      <c r="B976" s="1"/>
      <c r="C976" s="2"/>
      <c r="D976" s="143"/>
      <c r="E976" s="1"/>
      <c r="F976" s="1"/>
      <c r="G976" s="1"/>
      <c r="H976" s="1"/>
      <c r="I976" s="1"/>
      <c r="J976" s="1"/>
      <c r="K976" s="1"/>
      <c r="L976" s="1"/>
      <c r="M976" s="3"/>
      <c r="N976" s="3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</row>
    <row r="977" spans="1:34" ht="18" customHeight="1" x14ac:dyDescent="0.25">
      <c r="A977" s="1"/>
      <c r="B977" s="1"/>
      <c r="C977" s="2"/>
      <c r="D977" s="143"/>
      <c r="E977" s="1"/>
      <c r="F977" s="1"/>
      <c r="G977" s="1"/>
      <c r="H977" s="1"/>
      <c r="I977" s="1"/>
      <c r="J977" s="1"/>
      <c r="K977" s="1"/>
      <c r="L977" s="1"/>
      <c r="M977" s="3"/>
      <c r="N977" s="3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</row>
    <row r="978" spans="1:34" ht="18" customHeight="1" x14ac:dyDescent="0.25">
      <c r="A978" s="1"/>
      <c r="B978" s="1"/>
      <c r="C978" s="2"/>
      <c r="D978" s="143"/>
      <c r="E978" s="1"/>
      <c r="F978" s="1"/>
      <c r="G978" s="1"/>
      <c r="H978" s="1"/>
      <c r="I978" s="1"/>
      <c r="J978" s="1"/>
      <c r="K978" s="1"/>
      <c r="L978" s="1"/>
      <c r="M978" s="3"/>
      <c r="N978" s="3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</row>
    <row r="979" spans="1:34" ht="18" customHeight="1" x14ac:dyDescent="0.25">
      <c r="A979" s="1"/>
      <c r="B979" s="1"/>
      <c r="C979" s="2"/>
      <c r="D979" s="143"/>
      <c r="E979" s="1"/>
      <c r="F979" s="1"/>
      <c r="G979" s="1"/>
      <c r="H979" s="1"/>
      <c r="I979" s="1"/>
      <c r="J979" s="1"/>
      <c r="K979" s="1"/>
      <c r="L979" s="1"/>
      <c r="M979" s="3"/>
      <c r="N979" s="3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</row>
    <row r="980" spans="1:34" ht="18" customHeight="1" x14ac:dyDescent="0.25">
      <c r="A980" s="1"/>
      <c r="B980" s="1"/>
      <c r="C980" s="2"/>
      <c r="D980" s="143"/>
      <c r="E980" s="1"/>
      <c r="F980" s="1"/>
      <c r="G980" s="1"/>
      <c r="H980" s="1"/>
      <c r="I980" s="1"/>
      <c r="J980" s="1"/>
      <c r="K980" s="1"/>
      <c r="L980" s="1"/>
      <c r="M980" s="3"/>
      <c r="N980" s="3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</row>
    <row r="981" spans="1:34" ht="18" customHeight="1" x14ac:dyDescent="0.25">
      <c r="A981" s="1"/>
      <c r="B981" s="1"/>
      <c r="C981" s="2"/>
      <c r="D981" s="143"/>
      <c r="E981" s="1"/>
      <c r="F981" s="1"/>
      <c r="G981" s="1"/>
      <c r="H981" s="1"/>
      <c r="I981" s="1"/>
      <c r="J981" s="1"/>
      <c r="K981" s="1"/>
      <c r="L981" s="1"/>
      <c r="M981" s="3"/>
      <c r="N981" s="3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</row>
    <row r="982" spans="1:34" ht="18" customHeight="1" x14ac:dyDescent="0.25">
      <c r="A982" s="1"/>
      <c r="B982" s="1"/>
      <c r="C982" s="2"/>
      <c r="D982" s="143"/>
      <c r="E982" s="1"/>
      <c r="F982" s="1"/>
      <c r="G982" s="1"/>
      <c r="H982" s="1"/>
      <c r="I982" s="1"/>
      <c r="J982" s="1"/>
      <c r="K982" s="1"/>
      <c r="L982" s="1"/>
      <c r="M982" s="3"/>
      <c r="N982" s="3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</row>
    <row r="983" spans="1:34" ht="18" customHeight="1" x14ac:dyDescent="0.25">
      <c r="A983" s="1"/>
      <c r="B983" s="1"/>
      <c r="C983" s="2"/>
      <c r="D983" s="143"/>
      <c r="E983" s="1"/>
      <c r="F983" s="1"/>
      <c r="G983" s="1"/>
      <c r="H983" s="1"/>
      <c r="I983" s="1"/>
      <c r="J983" s="1"/>
      <c r="K983" s="1"/>
      <c r="L983" s="1"/>
      <c r="M983" s="3"/>
      <c r="N983" s="3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</row>
    <row r="984" spans="1:34" ht="18" customHeight="1" x14ac:dyDescent="0.25">
      <c r="A984" s="1"/>
      <c r="B984" s="1"/>
      <c r="C984" s="2"/>
      <c r="D984" s="143"/>
      <c r="E984" s="1"/>
      <c r="F984" s="1"/>
      <c r="G984" s="1"/>
      <c r="H984" s="1"/>
      <c r="I984" s="1"/>
      <c r="J984" s="1"/>
      <c r="K984" s="1"/>
      <c r="L984" s="1"/>
      <c r="M984" s="3"/>
      <c r="N984" s="3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</row>
    <row r="985" spans="1:34" ht="18" customHeight="1" x14ac:dyDescent="0.25">
      <c r="A985" s="1"/>
      <c r="B985" s="1"/>
      <c r="C985" s="2"/>
      <c r="D985" s="143"/>
      <c r="E985" s="1"/>
      <c r="F985" s="1"/>
      <c r="G985" s="1"/>
      <c r="H985" s="1"/>
      <c r="I985" s="1"/>
      <c r="J985" s="1"/>
      <c r="K985" s="1"/>
      <c r="L985" s="1"/>
      <c r="M985" s="3"/>
      <c r="N985" s="3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</row>
    <row r="986" spans="1:34" ht="18" customHeight="1" x14ac:dyDescent="0.25">
      <c r="A986" s="1"/>
      <c r="B986" s="1"/>
      <c r="C986" s="2"/>
      <c r="D986" s="143"/>
      <c r="E986" s="1"/>
      <c r="F986" s="1"/>
      <c r="G986" s="1"/>
      <c r="H986" s="1"/>
      <c r="I986" s="1"/>
      <c r="J986" s="1"/>
      <c r="K986" s="1"/>
      <c r="L986" s="1"/>
      <c r="M986" s="3"/>
      <c r="N986" s="3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</row>
    <row r="987" spans="1:34" ht="18" customHeight="1" x14ac:dyDescent="0.25">
      <c r="A987" s="1"/>
      <c r="B987" s="1"/>
      <c r="C987" s="2"/>
      <c r="D987" s="143"/>
      <c r="E987" s="1"/>
      <c r="F987" s="1"/>
      <c r="G987" s="1"/>
      <c r="H987" s="1"/>
      <c r="I987" s="1"/>
      <c r="J987" s="1"/>
      <c r="K987" s="1"/>
      <c r="L987" s="1"/>
      <c r="M987" s="3"/>
      <c r="N987" s="3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</row>
    <row r="988" spans="1:34" ht="18" customHeight="1" x14ac:dyDescent="0.25">
      <c r="A988" s="1"/>
      <c r="B988" s="1"/>
      <c r="C988" s="2"/>
      <c r="D988" s="143"/>
      <c r="E988" s="1"/>
      <c r="F988" s="1"/>
      <c r="G988" s="1"/>
      <c r="H988" s="1"/>
      <c r="I988" s="1"/>
      <c r="J988" s="1"/>
      <c r="K988" s="1"/>
      <c r="L988" s="1"/>
      <c r="M988" s="3"/>
      <c r="N988" s="3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</row>
    <row r="989" spans="1:34" ht="18" customHeight="1" x14ac:dyDescent="0.25">
      <c r="A989" s="1"/>
      <c r="B989" s="1"/>
      <c r="C989" s="2"/>
      <c r="D989" s="143"/>
      <c r="E989" s="1"/>
      <c r="F989" s="1"/>
      <c r="G989" s="1"/>
      <c r="H989" s="1"/>
      <c r="I989" s="1"/>
      <c r="J989" s="1"/>
      <c r="K989" s="1"/>
      <c r="L989" s="1"/>
      <c r="M989" s="3"/>
      <c r="N989" s="3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</row>
    <row r="990" spans="1:34" ht="18" customHeight="1" x14ac:dyDescent="0.25">
      <c r="A990" s="1"/>
      <c r="B990" s="1"/>
      <c r="C990" s="2"/>
      <c r="D990" s="143"/>
      <c r="E990" s="1"/>
      <c r="F990" s="1"/>
      <c r="G990" s="1"/>
      <c r="H990" s="1"/>
      <c r="I990" s="1"/>
      <c r="J990" s="1"/>
      <c r="K990" s="1"/>
      <c r="L990" s="1"/>
      <c r="M990" s="3"/>
      <c r="N990" s="3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</row>
    <row r="991" spans="1:34" ht="18" customHeight="1" x14ac:dyDescent="0.25">
      <c r="A991" s="1"/>
      <c r="B991" s="1"/>
      <c r="C991" s="2"/>
      <c r="D991" s="143"/>
      <c r="E991" s="1"/>
      <c r="F991" s="1"/>
      <c r="G991" s="1"/>
      <c r="H991" s="1"/>
      <c r="I991" s="1"/>
      <c r="J991" s="1"/>
      <c r="K991" s="1"/>
      <c r="L991" s="1"/>
      <c r="M991" s="3"/>
      <c r="N991" s="3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</row>
    <row r="992" spans="1:34" ht="18" customHeight="1" x14ac:dyDescent="0.25">
      <c r="A992" s="1"/>
      <c r="B992" s="1"/>
      <c r="C992" s="2"/>
      <c r="D992" s="143"/>
      <c r="E992" s="1"/>
      <c r="F992" s="1"/>
      <c r="G992" s="1"/>
      <c r="H992" s="1"/>
      <c r="I992" s="1"/>
      <c r="J992" s="1"/>
      <c r="K992" s="1"/>
      <c r="L992" s="1"/>
      <c r="M992" s="3"/>
      <c r="N992" s="3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</row>
    <row r="993" spans="1:34" ht="18" customHeight="1" x14ac:dyDescent="0.25">
      <c r="A993" s="1"/>
      <c r="B993" s="1"/>
      <c r="C993" s="2"/>
      <c r="D993" s="143"/>
      <c r="E993" s="1"/>
      <c r="F993" s="1"/>
      <c r="G993" s="1"/>
      <c r="H993" s="1"/>
      <c r="I993" s="1"/>
      <c r="J993" s="1"/>
      <c r="K993" s="1"/>
      <c r="L993" s="1"/>
      <c r="M993" s="3"/>
      <c r="N993" s="3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</row>
    <row r="994" spans="1:34" ht="18" customHeight="1" x14ac:dyDescent="0.25">
      <c r="A994" s="1"/>
      <c r="B994" s="1"/>
      <c r="C994" s="2"/>
      <c r="D994" s="143"/>
      <c r="E994" s="1"/>
      <c r="F994" s="1"/>
      <c r="G994" s="1"/>
      <c r="H994" s="1"/>
      <c r="I994" s="1"/>
      <c r="J994" s="1"/>
      <c r="K994" s="1"/>
      <c r="L994" s="1"/>
      <c r="M994" s="3"/>
      <c r="N994" s="3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</row>
    <row r="995" spans="1:34" ht="18" customHeight="1" x14ac:dyDescent="0.25">
      <c r="A995" s="1"/>
      <c r="B995" s="1"/>
      <c r="C995" s="2"/>
      <c r="D995" s="143"/>
      <c r="E995" s="1"/>
      <c r="F995" s="1"/>
      <c r="G995" s="1"/>
      <c r="H995" s="1"/>
      <c r="I995" s="1"/>
      <c r="J995" s="1"/>
      <c r="K995" s="1"/>
      <c r="L995" s="1"/>
      <c r="M995" s="3"/>
      <c r="N995" s="3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</row>
    <row r="996" spans="1:34" ht="18" customHeight="1" x14ac:dyDescent="0.25">
      <c r="A996" s="1"/>
      <c r="B996" s="1"/>
      <c r="C996" s="2"/>
      <c r="D996" s="143"/>
      <c r="E996" s="1"/>
      <c r="F996" s="1"/>
      <c r="G996" s="1"/>
      <c r="H996" s="1"/>
      <c r="I996" s="1"/>
      <c r="J996" s="1"/>
      <c r="K996" s="1"/>
      <c r="L996" s="1"/>
      <c r="M996" s="3"/>
      <c r="N996" s="3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</row>
    <row r="997" spans="1:34" ht="18" customHeight="1" x14ac:dyDescent="0.25">
      <c r="A997" s="1"/>
      <c r="B997" s="1"/>
      <c r="C997" s="2"/>
      <c r="D997" s="143"/>
      <c r="E997" s="1"/>
      <c r="F997" s="1"/>
      <c r="G997" s="1"/>
      <c r="H997" s="1"/>
      <c r="I997" s="1"/>
      <c r="J997" s="1"/>
      <c r="K997" s="1"/>
      <c r="L997" s="1"/>
      <c r="M997" s="3"/>
      <c r="N997" s="3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</row>
    <row r="998" spans="1:34" ht="18" customHeight="1" x14ac:dyDescent="0.25">
      <c r="A998" s="1"/>
      <c r="B998" s="1"/>
      <c r="C998" s="2"/>
      <c r="D998" s="143"/>
      <c r="E998" s="1"/>
      <c r="F998" s="1"/>
      <c r="G998" s="1"/>
      <c r="H998" s="1"/>
      <c r="I998" s="1"/>
      <c r="J998" s="1"/>
      <c r="K998" s="1"/>
      <c r="L998" s="1"/>
      <c r="M998" s="3"/>
      <c r="N998" s="3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</row>
    <row r="999" spans="1:34" ht="18" customHeight="1" x14ac:dyDescent="0.25">
      <c r="A999" s="1"/>
      <c r="B999" s="1"/>
      <c r="C999" s="2"/>
      <c r="D999" s="143"/>
      <c r="E999" s="1"/>
      <c r="F999" s="1"/>
      <c r="G999" s="1"/>
      <c r="H999" s="1"/>
      <c r="I999" s="1"/>
      <c r="J999" s="1"/>
      <c r="K999" s="1"/>
      <c r="L999" s="1"/>
      <c r="M999" s="3"/>
      <c r="N999" s="3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</row>
    <row r="1000" spans="1:34" ht="18" customHeight="1" x14ac:dyDescent="0.25">
      <c r="A1000" s="1"/>
      <c r="B1000" s="1"/>
      <c r="C1000" s="2"/>
      <c r="D1000" s="143"/>
      <c r="E1000" s="1"/>
      <c r="F1000" s="1"/>
      <c r="G1000" s="1"/>
      <c r="H1000" s="1"/>
      <c r="I1000" s="1"/>
      <c r="J1000" s="1"/>
      <c r="K1000" s="1"/>
      <c r="L1000" s="1"/>
      <c r="M1000" s="3"/>
      <c r="N1000" s="3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</row>
  </sheetData>
  <sheetProtection algorithmName="SHA-512" hashValue="TD2apxW3x9FwwsWM/cAZqHzCh23UhgczcHx9dlFTFcKbdfZOyfv2Vc4ffw/tecz3Mhz3GIWr/exW/ZH83O9GVA==" saltValue="+jh52n61gwNEn21IhuWMiw==" spinCount="100000" sheet="1" selectLockedCells="1"/>
  <mergeCells count="9">
    <mergeCell ref="E50:K50"/>
    <mergeCell ref="C83:C89"/>
    <mergeCell ref="L3:L4"/>
    <mergeCell ref="J7:N7"/>
    <mergeCell ref="M8:N8"/>
    <mergeCell ref="L49:N49"/>
    <mergeCell ref="L50:N50"/>
    <mergeCell ref="E51:N51"/>
    <mergeCell ref="E52:N52"/>
  </mergeCells>
  <conditionalFormatting sqref="A253:D1000 C55:D64 C82:M82 C102:N103 C104:D252 E12:E16 E17:F17 E21:F21 E22:G25 E23:H25 E47:E49 E65:M65 E66 E67:M81 E83:M89 E89:F101 E104:I104 E115:M115 E201:F201 E254:N1000 F45:F49 G16:G20 G22:H22 G48:J49 G55:I61 G62:N64 G66:M66 G67:G89 G105:N112 H11:I11 H12:J20 H43:I43 H201 I21 I90:M100 I104:L109 J7 J12:K12 J24:J25 J27 J28:K28 J201:L201 K8:L8 K13:K16 K18:K22 K26:L26 K32:K33 K36 K43:M43 K44:L49 L13 L20:L22 L38:L40 L104:N104 M87:M101 N201:N253 O13:O16 O19 O55:AH56 P16:P17 T57:T127 T128:AH148 AD57:AH127">
    <cfRule type="expression" dxfId="115" priority="1">
      <formula>ISERROR(A253)</formula>
    </cfRule>
  </conditionalFormatting>
  <conditionalFormatting sqref="E115:M115 E201:F201 H201 J201:L201 N201">
    <cfRule type="containsText" dxfId="114" priority="2" operator="containsText" text="FALSO">
      <formula>NOT(ISERROR(SEARCH(("FALSO"),(E115))))</formula>
    </cfRule>
  </conditionalFormatting>
  <conditionalFormatting sqref="E115:M115 E201:F201 H201 J201:L201 N201">
    <cfRule type="expression" dxfId="113" priority="3">
      <formula>ISERROR(E115)</formula>
    </cfRule>
  </conditionalFormatting>
  <conditionalFormatting sqref="H9">
    <cfRule type="expression" dxfId="112" priority="4">
      <formula>ISERROR(H9)</formula>
    </cfRule>
  </conditionalFormatting>
  <conditionalFormatting sqref="G8">
    <cfRule type="expression" dxfId="111" priority="5">
      <formula>ISERROR(G8)</formula>
    </cfRule>
  </conditionalFormatting>
  <conditionalFormatting sqref="G9">
    <cfRule type="expression" dxfId="110" priority="6">
      <formula>ISERROR(G9)</formula>
    </cfRule>
  </conditionalFormatting>
  <conditionalFormatting sqref="F54:I54 G44:J47">
    <cfRule type="expression" dxfId="109" priority="7">
      <formula>ISERROR(F54)</formula>
    </cfRule>
  </conditionalFormatting>
  <conditionalFormatting sqref="L8">
    <cfRule type="expression" dxfId="108" priority="8">
      <formula>ISERROR(L8)</formula>
    </cfRule>
  </conditionalFormatting>
  <conditionalFormatting sqref="E202:M253">
    <cfRule type="expression" dxfId="107" priority="9">
      <formula>ISERROR(E202)</formula>
    </cfRule>
  </conditionalFormatting>
  <conditionalFormatting sqref="H8">
    <cfRule type="expression" dxfId="106" priority="10">
      <formula>ISERROR(H8)</formula>
    </cfRule>
  </conditionalFormatting>
  <conditionalFormatting sqref="E44:E46">
    <cfRule type="expression" dxfId="105" priority="11">
      <formula>ISERROR(E44)</formula>
    </cfRule>
  </conditionalFormatting>
  <conditionalFormatting sqref="E45">
    <cfRule type="expression" dxfId="104" priority="12">
      <formula>ISERROR(E45)</formula>
    </cfRule>
  </conditionalFormatting>
  <conditionalFormatting sqref="E44">
    <cfRule type="expression" dxfId="103" priority="13">
      <formula>ISERROR(E44)</formula>
    </cfRule>
  </conditionalFormatting>
  <conditionalFormatting sqref="E54:F64">
    <cfRule type="expression" dxfId="102" priority="14">
      <formula>ISERROR(E54)</formula>
    </cfRule>
  </conditionalFormatting>
  <conditionalFormatting sqref="E44">
    <cfRule type="expression" dxfId="101" priority="15">
      <formula>ISERROR(E44)</formula>
    </cfRule>
  </conditionalFormatting>
  <conditionalFormatting sqref="J104">
    <cfRule type="expression" dxfId="100" priority="16">
      <formula>ISERROR(J104)</formula>
    </cfRule>
  </conditionalFormatting>
  <conditionalFormatting sqref="F13">
    <cfRule type="expression" dxfId="99" priority="17">
      <formula>ISERROR(F13)</formula>
    </cfRule>
  </conditionalFormatting>
  <conditionalFormatting sqref="F14:F16">
    <cfRule type="expression" dxfId="98" priority="18">
      <formula>ISERROR(F14)</formula>
    </cfRule>
  </conditionalFormatting>
  <conditionalFormatting sqref="M8">
    <cfRule type="expression" dxfId="97" priority="19">
      <formula>ISERROR(M8)</formula>
    </cfRule>
  </conditionalFormatting>
  <conditionalFormatting sqref="E53">
    <cfRule type="expression" dxfId="96" priority="20">
      <formula>ISERROR(E61)</formula>
    </cfRule>
  </conditionalFormatting>
  <conditionalFormatting sqref="E50">
    <cfRule type="expression" dxfId="95" priority="21">
      <formula>ISERROR(E60)</formula>
    </cfRule>
  </conditionalFormatting>
  <conditionalFormatting sqref="E12">
    <cfRule type="expression" dxfId="94" priority="22">
      <formula>ISERROR(E12)</formula>
    </cfRule>
  </conditionalFormatting>
  <conditionalFormatting sqref="E52">
    <cfRule type="expression" dxfId="93" priority="23">
      <formula>ISERROR(E61)</formula>
    </cfRule>
  </conditionalFormatting>
  <conditionalFormatting sqref="E51">
    <cfRule type="expression" dxfId="92" priority="24">
      <formula>ISERROR(E60)</formula>
    </cfRule>
  </conditionalFormatting>
  <conditionalFormatting sqref="E113:E114">
    <cfRule type="expression" dxfId="91" priority="25">
      <formula>ISERROR(E123)</formula>
    </cfRule>
  </conditionalFormatting>
  <conditionalFormatting sqref="F23:F25">
    <cfRule type="expression" dxfId="90" priority="26">
      <formula>ISERROR(F23)</formula>
    </cfRule>
  </conditionalFormatting>
  <conditionalFormatting sqref="K27:K28">
    <cfRule type="expression" dxfId="89" priority="27">
      <formula>ISERROR(K27)</formula>
    </cfRule>
  </conditionalFormatting>
  <conditionalFormatting sqref="G66:H101">
    <cfRule type="expression" dxfId="88" priority="28">
      <formula>ISERROR(G66)</formula>
    </cfRule>
  </conditionalFormatting>
  <conditionalFormatting sqref="G66:H102">
    <cfRule type="containsText" dxfId="87" priority="29" operator="containsText" text="FALSO">
      <formula>NOT(ISERROR(SEARCH(("FALSO"),(G66))))</formula>
    </cfRule>
  </conditionalFormatting>
  <conditionalFormatting sqref="G66:M101 G202:N250 N201:N202">
    <cfRule type="cellIs" dxfId="86" priority="30" operator="lessThanOrEqual">
      <formula>0</formula>
    </cfRule>
  </conditionalFormatting>
  <conditionalFormatting sqref="E200:F200">
    <cfRule type="expression" dxfId="85" priority="31">
      <formula>ISERROR(E200)</formula>
    </cfRule>
  </conditionalFormatting>
  <conditionalFormatting sqref="H201 J201:L201">
    <cfRule type="cellIs" dxfId="84" priority="32" operator="lessThanOrEqual">
      <formula>0</formula>
    </cfRule>
  </conditionalFormatting>
  <conditionalFormatting sqref="J117:L200 N117:N201">
    <cfRule type="expression" dxfId="83" priority="33">
      <formula>ISERROR(J117)</formula>
    </cfRule>
  </conditionalFormatting>
  <conditionalFormatting sqref="G117:H200">
    <cfRule type="expression" dxfId="82" priority="34">
      <formula>ISERROR(G117)</formula>
    </cfRule>
  </conditionalFormatting>
  <conditionalFormatting sqref="G117:H200">
    <cfRule type="containsText" dxfId="81" priority="35" operator="containsText" text="FALSO">
      <formula>NOT(ISERROR(SEARCH(("FALSO"),(G117))))</formula>
    </cfRule>
  </conditionalFormatting>
  <conditionalFormatting sqref="G117:H200 J117:L200 N117:N201">
    <cfRule type="cellIs" dxfId="80" priority="36" operator="lessThanOrEqual">
      <formula>0</formula>
    </cfRule>
  </conditionalFormatting>
  <conditionalFormatting sqref="L50">
    <cfRule type="expression" dxfId="79" priority="37">
      <formula>ISERROR(L50)</formula>
    </cfRule>
  </conditionalFormatting>
  <conditionalFormatting sqref="K36">
    <cfRule type="expression" dxfId="78" priority="38">
      <formula>ISERROR(K36)</formula>
    </cfRule>
  </conditionalFormatting>
  <conditionalFormatting sqref="J36">
    <cfRule type="expression" dxfId="77" priority="39">
      <formula>ISERROR(J36)</formula>
    </cfRule>
  </conditionalFormatting>
  <conditionalFormatting sqref="K39">
    <cfRule type="expression" dxfId="76" priority="40">
      <formula>ISERROR(K39)</formula>
    </cfRule>
  </conditionalFormatting>
  <conditionalFormatting sqref="L38:L40">
    <cfRule type="expression" dxfId="75" priority="41">
      <formula>ISERROR(L38)</formula>
    </cfRule>
  </conditionalFormatting>
  <conditionalFormatting sqref="K40">
    <cfRule type="expression" dxfId="74" priority="42">
      <formula>ISERROR(K40)</formula>
    </cfRule>
  </conditionalFormatting>
  <conditionalFormatting sqref="J30">
    <cfRule type="expression" dxfId="73" priority="43">
      <formula>ISERROR(J30)</formula>
    </cfRule>
  </conditionalFormatting>
  <conditionalFormatting sqref="K33">
    <cfRule type="expression" dxfId="72" priority="44">
      <formula>ISERROR(K33)</formula>
    </cfRule>
  </conditionalFormatting>
  <conditionalFormatting sqref="J14:K14 J17 J22">
    <cfRule type="expression" dxfId="71" priority="45">
      <formula>ISERROR(J14)</formula>
    </cfRule>
  </conditionalFormatting>
  <conditionalFormatting sqref="J16">
    <cfRule type="expression" dxfId="70" priority="46">
      <formula>ISERROR(J16)</formula>
    </cfRule>
  </conditionalFormatting>
  <conditionalFormatting sqref="J20">
    <cfRule type="expression" dxfId="69" priority="47">
      <formula>ISERROR(J20)</formula>
    </cfRule>
  </conditionalFormatting>
  <conditionalFormatting sqref="J21">
    <cfRule type="expression" dxfId="68" priority="48">
      <formula>ISERROR(J21)</formula>
    </cfRule>
  </conditionalFormatting>
  <conditionalFormatting sqref="G14:G15">
    <cfRule type="expression" dxfId="67" priority="49">
      <formula>ISERROR(G14)</formula>
    </cfRule>
  </conditionalFormatting>
  <conditionalFormatting sqref="I10">
    <cfRule type="expression" dxfId="66" priority="50">
      <formula>ISERROR(I10)</formula>
    </cfRule>
  </conditionalFormatting>
  <conditionalFormatting sqref="E22:H22">
    <cfRule type="expression" dxfId="65" priority="51">
      <formula>ISERROR(E22)</formula>
    </cfRule>
  </conditionalFormatting>
  <conditionalFormatting sqref="G10:G12">
    <cfRule type="expression" dxfId="64" priority="52">
      <formula>ISERROR(G10)</formula>
    </cfRule>
  </conditionalFormatting>
  <conditionalFormatting sqref="E26:G26">
    <cfRule type="expression" dxfId="63" priority="53">
      <formula>ISERROR(E26)</formula>
    </cfRule>
  </conditionalFormatting>
  <conditionalFormatting sqref="L15:L19">
    <cfRule type="expression" dxfId="62" priority="54">
      <formula>ISERROR(L15)</formula>
    </cfRule>
  </conditionalFormatting>
  <conditionalFormatting sqref="E27:I32 E30:H38 E38:G40">
    <cfRule type="expression" dxfId="61" priority="55">
      <formula>ISERROR(E27)</formula>
    </cfRule>
  </conditionalFormatting>
  <conditionalFormatting sqref="E27:I32 E30:H38 E38:G40">
    <cfRule type="expression" dxfId="60" priority="56">
      <formula>ISERROR(E27)</formula>
    </cfRule>
  </conditionalFormatting>
  <conditionalFormatting sqref="F21">
    <cfRule type="expression" dxfId="59" priority="57">
      <formula>ISERROR(F21)</formula>
    </cfRule>
  </conditionalFormatting>
  <conditionalFormatting sqref="G21:H21">
    <cfRule type="expression" dxfId="58" priority="58">
      <formula>ISERROR(G21)</formula>
    </cfRule>
  </conditionalFormatting>
  <conditionalFormatting sqref="G13">
    <cfRule type="expression" dxfId="57" priority="59">
      <formula>ISERROR(G13)</formula>
    </cfRule>
  </conditionalFormatting>
  <conditionalFormatting sqref="K17">
    <cfRule type="expression" dxfId="56" priority="60">
      <formula>ISERROR(K17)</formula>
    </cfRule>
  </conditionalFormatting>
  <conditionalFormatting sqref="L24">
    <cfRule type="expression" dxfId="55" priority="61">
      <formula>ISERROR(L24)</formula>
    </cfRule>
  </conditionalFormatting>
  <conditionalFormatting sqref="L30">
    <cfRule type="expression" dxfId="54" priority="62">
      <formula>ISERROR(L30)</formula>
    </cfRule>
  </conditionalFormatting>
  <conditionalFormatting sqref="L36">
    <cfRule type="expression" dxfId="53" priority="63">
      <formula>ISERROR(L36)</formula>
    </cfRule>
  </conditionalFormatting>
  <conditionalFormatting sqref="L25:N25">
    <cfRule type="expression" dxfId="52" priority="64">
      <formula>ISERROR(L25)</formula>
    </cfRule>
  </conditionalFormatting>
  <conditionalFormatting sqref="F116:F200">
    <cfRule type="containsText" dxfId="51" priority="65" operator="containsText" text="FALSO">
      <formula>NOT(ISERROR(SEARCH(("FALSO"),(F116))))</formula>
    </cfRule>
  </conditionalFormatting>
  <conditionalFormatting sqref="E116:E200">
    <cfRule type="containsText" dxfId="50" priority="66" operator="containsText" text="FALSO">
      <formula>NOT(ISERROR(SEARCH(("FALSO"),(E116))))</formula>
    </cfRule>
  </conditionalFormatting>
  <conditionalFormatting sqref="J54:N61">
    <cfRule type="expression" dxfId="49" priority="67">
      <formula>ISERROR(J54)</formula>
    </cfRule>
  </conditionalFormatting>
  <conditionalFormatting sqref="L14:L22">
    <cfRule type="expression" dxfId="48" priority="68">
      <formula>ISERROR(L14)</formula>
    </cfRule>
  </conditionalFormatting>
  <conditionalFormatting sqref="M14:M22">
    <cfRule type="expression" dxfId="47" priority="69">
      <formula>ISERROR(M14)</formula>
    </cfRule>
  </conditionalFormatting>
  <conditionalFormatting sqref="M27">
    <cfRule type="expression" dxfId="46" priority="70">
      <formula>ISERROR(M27)</formula>
    </cfRule>
  </conditionalFormatting>
  <conditionalFormatting sqref="M27">
    <cfRule type="expression" dxfId="45" priority="71">
      <formula>ISERROR(M27)</formula>
    </cfRule>
  </conditionalFormatting>
  <conditionalFormatting sqref="N65:N101">
    <cfRule type="expression" dxfId="44" priority="72">
      <formula>ISERROR(N65)</formula>
    </cfRule>
  </conditionalFormatting>
  <conditionalFormatting sqref="M38:M40">
    <cfRule type="expression" dxfId="43" priority="73">
      <formula>ISERROR(M38)</formula>
    </cfRule>
  </conditionalFormatting>
  <conditionalFormatting sqref="M38:M40">
    <cfRule type="expression" dxfId="42" priority="74">
      <formula>ISERROR(M38)</formula>
    </cfRule>
  </conditionalFormatting>
  <conditionalFormatting sqref="N32">
    <cfRule type="expression" dxfId="41" priority="75">
      <formula>ISERROR(N32)</formula>
    </cfRule>
  </conditionalFormatting>
  <conditionalFormatting sqref="N38:N40">
    <cfRule type="expression" dxfId="40" priority="76">
      <formula>ISERROR(N38)</formula>
    </cfRule>
  </conditionalFormatting>
  <conditionalFormatting sqref="M32:M33">
    <cfRule type="expression" dxfId="39" priority="77">
      <formula>ISERROR(M32)</formula>
    </cfRule>
  </conditionalFormatting>
  <conditionalFormatting sqref="M32:M33">
    <cfRule type="expression" dxfId="38" priority="78">
      <formula>ISERROR(M32)</formula>
    </cfRule>
  </conditionalFormatting>
  <conditionalFormatting sqref="N33">
    <cfRule type="expression" dxfId="37" priority="79">
      <formula>ISERROR(N33)</formula>
    </cfRule>
  </conditionalFormatting>
  <conditionalFormatting sqref="M28:N28">
    <cfRule type="expression" dxfId="36" priority="80">
      <formula>ISERROR(M28)</formula>
    </cfRule>
  </conditionalFormatting>
  <conditionalFormatting sqref="M28:N28">
    <cfRule type="expression" dxfId="35" priority="81">
      <formula>ISERROR(M28)</formula>
    </cfRule>
  </conditionalFormatting>
  <conditionalFormatting sqref="L27">
    <cfRule type="expression" dxfId="34" priority="82">
      <formula>ISERROR(L27)</formula>
    </cfRule>
  </conditionalFormatting>
  <conditionalFormatting sqref="L27">
    <cfRule type="containsText" dxfId="33" priority="83" stopIfTrue="1" operator="containsText" text="FALSO">
      <formula>NOT(ISERROR(SEARCH(("FALSO"),(L27))))</formula>
    </cfRule>
  </conditionalFormatting>
  <conditionalFormatting sqref="L28">
    <cfRule type="expression" dxfId="32" priority="84">
      <formula>ISERROR(L28)</formula>
    </cfRule>
  </conditionalFormatting>
  <conditionalFormatting sqref="L28">
    <cfRule type="containsText" dxfId="31" priority="85" stopIfTrue="1" operator="containsText" text="FALSO">
      <formula>NOT(ISERROR(SEARCH(("FALSO"),(L28))))</formula>
    </cfRule>
  </conditionalFormatting>
  <conditionalFormatting sqref="L32:L33">
    <cfRule type="expression" dxfId="30" priority="86">
      <formula>ISERROR(L32)</formula>
    </cfRule>
  </conditionalFormatting>
  <conditionalFormatting sqref="L32:L33">
    <cfRule type="containsText" dxfId="29" priority="87" stopIfTrue="1" operator="containsText" text="FALSO">
      <formula>NOT(ISERROR(SEARCH(("FALSO"),(L32))))</formula>
    </cfRule>
  </conditionalFormatting>
  <conditionalFormatting sqref="G116">
    <cfRule type="expression" dxfId="28" priority="88">
      <formula>ISERROR(G116)</formula>
    </cfRule>
  </conditionalFormatting>
  <conditionalFormatting sqref="G116">
    <cfRule type="containsText" dxfId="27" priority="89" operator="containsText" text="FALSO">
      <formula>NOT(ISERROR(SEARCH(("FALSO"),(G116))))</formula>
    </cfRule>
  </conditionalFormatting>
  <conditionalFormatting sqref="G116">
    <cfRule type="cellIs" dxfId="26" priority="90" operator="lessThanOrEqual">
      <formula>0</formula>
    </cfRule>
  </conditionalFormatting>
  <conditionalFormatting sqref="E18:F20">
    <cfRule type="expression" dxfId="25" priority="91">
      <formula>ISERROR(E18)</formula>
    </cfRule>
  </conditionalFormatting>
  <conditionalFormatting sqref="F11">
    <cfRule type="expression" dxfId="24" priority="92">
      <formula>ISERROR(F11)</formula>
    </cfRule>
  </conditionalFormatting>
  <conditionalFormatting sqref="E11">
    <cfRule type="expression" dxfId="23" priority="93">
      <formula>ISERROR(E11)</formula>
    </cfRule>
  </conditionalFormatting>
  <conditionalFormatting sqref="P23">
    <cfRule type="expression" dxfId="22" priority="94">
      <formula>ISERROR(P23)</formula>
    </cfRule>
  </conditionalFormatting>
  <conditionalFormatting sqref="P23">
    <cfRule type="cellIs" dxfId="21" priority="95" operator="lessThanOrEqual">
      <formula>0</formula>
    </cfRule>
  </conditionalFormatting>
  <conditionalFormatting sqref="K19">
    <cfRule type="cellIs" dxfId="20" priority="96" operator="equal">
      <formula>0</formula>
    </cfRule>
  </conditionalFormatting>
  <conditionalFormatting sqref="K19">
    <cfRule type="cellIs" dxfId="19" priority="97" operator="lessThan">
      <formula>0.0001</formula>
    </cfRule>
  </conditionalFormatting>
  <conditionalFormatting sqref="N27">
    <cfRule type="expression" dxfId="18" priority="98">
      <formula>ISERROR(N27)</formula>
    </cfRule>
  </conditionalFormatting>
  <conditionalFormatting sqref="N27">
    <cfRule type="expression" dxfId="17" priority="99">
      <formula>ISERROR(N27)</formula>
    </cfRule>
  </conditionalFormatting>
  <dataValidations disablePrompts="1" count="4">
    <dataValidation type="list" allowBlank="1" showErrorMessage="1" sqref="E12" xr:uid="{00000000-0002-0000-0000-000000000000}">
      <formula1>$A$12:$A$13</formula1>
    </dataValidation>
    <dataValidation type="list" allowBlank="1" showErrorMessage="1" sqref="H9" xr:uid="{00000000-0002-0000-0000-000001000000}">
      <formula1>$A$14:$A$23</formula1>
    </dataValidation>
    <dataValidation type="list" allowBlank="1" showErrorMessage="1" sqref="K36" xr:uid="{00000000-0002-0000-0000-000002000000}">
      <formula1>$A$31:$A$35</formula1>
    </dataValidation>
    <dataValidation type="list" allowBlank="1" showErrorMessage="1" sqref="J36" xr:uid="{00000000-0002-0000-0000-000003000000}">
      <formula1>$A$25:$A$27</formula1>
    </dataValidation>
  </dataValidations>
  <pageMargins left="0.70866141732283472" right="0.59055118110236227" top="0.9055118110236221" bottom="1.1417322834645669" header="0" footer="0"/>
  <pageSetup scale="36" fitToHeight="0" orientation="portrait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T1082"/>
  <sheetViews>
    <sheetView showGridLines="0" topLeftCell="C8" zoomScale="95" zoomScaleNormal="95" workbookViewId="0">
      <selection activeCell="J13" sqref="J13"/>
    </sheetView>
  </sheetViews>
  <sheetFormatPr baseColWidth="10" defaultColWidth="14.42578125" defaultRowHeight="15" customHeight="1" outlineLevelRow="2" x14ac:dyDescent="0.25"/>
  <cols>
    <col min="1" max="1" width="30.28515625" style="149" customWidth="1"/>
    <col min="2" max="2" width="31" style="149" customWidth="1"/>
    <col min="3" max="3" width="27.140625" style="149" customWidth="1"/>
    <col min="4" max="4" width="26.85546875" style="149" customWidth="1"/>
    <col min="5" max="5" width="40.140625" style="149" customWidth="1"/>
    <col min="6" max="7" width="18.85546875" style="149" customWidth="1"/>
    <col min="8" max="8" width="9.28515625" style="149" customWidth="1"/>
    <col min="9" max="11" width="10.7109375" style="149" customWidth="1"/>
    <col min="12" max="16384" width="14.42578125" style="149"/>
  </cols>
  <sheetData>
    <row r="1" spans="1:26" ht="15.75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</row>
    <row r="2" spans="1:26" ht="15" customHeight="1" thickBot="1" x14ac:dyDescent="0.3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</row>
    <row r="3" spans="1:26" ht="16.5" thickBot="1" x14ac:dyDescent="0.3">
      <c r="A3" s="270" t="s">
        <v>85</v>
      </c>
      <c r="B3" s="271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</row>
    <row r="4" spans="1:26" ht="15.75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</row>
    <row r="5" spans="1:26" ht="18.75" thickBot="1" x14ac:dyDescent="0.3">
      <c r="A5" s="272" t="s">
        <v>86</v>
      </c>
      <c r="B5" s="243"/>
      <c r="C5" s="243"/>
      <c r="D5" s="243"/>
      <c r="E5" s="243"/>
      <c r="F5" s="243"/>
      <c r="G5" s="243"/>
      <c r="H5" s="244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</row>
    <row r="6" spans="1:26" ht="16.5" thickBot="1" x14ac:dyDescent="0.3">
      <c r="A6" s="208" t="s">
        <v>87</v>
      </c>
      <c r="B6" s="230" t="s">
        <v>88</v>
      </c>
      <c r="C6" s="150"/>
      <c r="D6" s="150"/>
      <c r="G6" s="150"/>
      <c r="H6" s="150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</row>
    <row r="7" spans="1:26" ht="16.5" thickBot="1" x14ac:dyDescent="0.3">
      <c r="A7" s="208" t="s">
        <v>89</v>
      </c>
      <c r="B7" s="231" t="str">
        <f>SIMULADOR!$H$9</f>
        <v>AEROPUERTO (Nave)</v>
      </c>
      <c r="C7" s="152"/>
      <c r="D7" s="150"/>
      <c r="H7" s="150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</row>
    <row r="8" spans="1:26" ht="16.5" thickBot="1" x14ac:dyDescent="0.3">
      <c r="C8" s="152"/>
      <c r="D8" s="150"/>
      <c r="H8" s="150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</row>
    <row r="9" spans="1:26" ht="18.75" thickBot="1" x14ac:dyDescent="0.3">
      <c r="A9" s="151" t="str">
        <f>SIMULADOR!$E$12</f>
        <v>NAVE</v>
      </c>
      <c r="B9" s="153">
        <f>SIMULADOR!$F$14</f>
        <v>0</v>
      </c>
      <c r="C9" s="154"/>
      <c r="D9" s="150"/>
      <c r="E9" s="155" t="s">
        <v>139</v>
      </c>
      <c r="F9" s="156">
        <f>IF($B$7="AEROPUERTO (Lote)",24,IF($B$7="AEROPUERTO (Nave)",36,IF($B$7="PEDRO ESCOBEDO (Nave)",24,IF($B$7="PEDRO ESCOBEDO (Lote)",24,IF($B$7="SAN LUIS POTOSI (Nave)",36,IF($B$7="SAN LUIS POTOSI (Lote)",36,IF($B$7="GAMMA II ETAPA 1",9,IF($B$7="GAMMA II ETAPA 2",15,IF($B$7="CELTA",36,IF($B$7="STA ROSA (Nave)",4,""))))))))))</f>
        <v>36</v>
      </c>
      <c r="H9" s="150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</row>
    <row r="10" spans="1:26" ht="18.75" thickBot="1" x14ac:dyDescent="0.3">
      <c r="A10" s="151" t="s">
        <v>91</v>
      </c>
      <c r="B10" s="157">
        <f>SIMULADOR!$F$13</f>
        <v>0</v>
      </c>
      <c r="C10" s="158"/>
      <c r="D10" s="150"/>
      <c r="E10" s="155" t="s">
        <v>140</v>
      </c>
      <c r="F10" s="159">
        <f>VLOOKUP(F9,Table_1[#All],2)</f>
        <v>45778</v>
      </c>
      <c r="H10" s="150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</row>
    <row r="11" spans="1:26" ht="18.75" thickBot="1" x14ac:dyDescent="0.3">
      <c r="A11" s="151" t="s">
        <v>90</v>
      </c>
      <c r="B11" s="160">
        <f>SIMULADOR!$F$15</f>
        <v>100</v>
      </c>
      <c r="D11" s="150"/>
      <c r="E11" s="155" t="s">
        <v>143</v>
      </c>
      <c r="F11" s="161">
        <f>SIMULADOR!F66</f>
        <v>44713</v>
      </c>
      <c r="H11" s="150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</row>
    <row r="12" spans="1:26" ht="18" x14ac:dyDescent="0.25">
      <c r="A12" s="150"/>
      <c r="B12" s="162"/>
      <c r="C12" s="158"/>
      <c r="D12" s="150"/>
      <c r="E12" s="150"/>
      <c r="F12" s="162"/>
      <c r="G12" s="158"/>
      <c r="H12" s="150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</row>
    <row r="13" spans="1:26" ht="18" x14ac:dyDescent="0.25">
      <c r="A13" s="150"/>
      <c r="B13" s="162"/>
      <c r="C13" s="158"/>
      <c r="D13" s="150"/>
      <c r="E13" s="150"/>
      <c r="F13" s="162"/>
      <c r="G13" s="158"/>
      <c r="H13" s="150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</row>
    <row r="14" spans="1:26" ht="15.75" x14ac:dyDescent="0.25">
      <c r="A14" s="163" t="s">
        <v>92</v>
      </c>
      <c r="B14" s="148"/>
      <c r="C14" s="148"/>
      <c r="D14" s="148"/>
      <c r="E14" s="163" t="s">
        <v>93</v>
      </c>
      <c r="F14" s="164">
        <f>SIMULADOR!K36</f>
        <v>0</v>
      </c>
      <c r="G14" s="163"/>
      <c r="H14" s="150"/>
      <c r="I14" s="150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</row>
    <row r="15" spans="1:26" ht="16.5" thickBot="1" x14ac:dyDescent="0.3">
      <c r="A15" s="163"/>
      <c r="B15" s="165" t="s">
        <v>94</v>
      </c>
      <c r="C15" s="165" t="s">
        <v>95</v>
      </c>
      <c r="D15" s="148"/>
      <c r="E15" s="163"/>
      <c r="F15" s="165" t="s">
        <v>94</v>
      </c>
      <c r="G15" s="165" t="s">
        <v>95</v>
      </c>
      <c r="H15" s="150"/>
      <c r="I15" s="150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ht="15.75" x14ac:dyDescent="0.25">
      <c r="A16" s="151" t="s">
        <v>96</v>
      </c>
      <c r="B16" s="166">
        <f>SIMULADOR!K21</f>
        <v>1105000</v>
      </c>
      <c r="C16" s="167">
        <f>SIMULADOR!M21</f>
        <v>1246440</v>
      </c>
      <c r="D16" s="150"/>
      <c r="E16" s="168" t="s">
        <v>97</v>
      </c>
      <c r="F16" s="166" t="e">
        <f>SIMULADOR!L38</f>
        <v>#VALUE!</v>
      </c>
      <c r="G16" s="167" t="e">
        <f>SIMULADOR!N38</f>
        <v>#VALUE!</v>
      </c>
      <c r="H16" s="150"/>
      <c r="I16" s="150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ht="15.75" x14ac:dyDescent="0.25">
      <c r="A17" s="151" t="s">
        <v>98</v>
      </c>
      <c r="B17" s="169">
        <f>SIMULADOR!K20</f>
        <v>331500</v>
      </c>
      <c r="C17" s="170">
        <f>SIMULADOR!M20</f>
        <v>373932</v>
      </c>
      <c r="D17" s="148"/>
      <c r="E17" s="171" t="str">
        <f>SIMULADOR!K32</f>
        <v/>
      </c>
      <c r="F17" s="169" t="e">
        <f>SIMULADOR!L39</f>
        <v>#VALUE!</v>
      </c>
      <c r="G17" s="170" t="e">
        <f>SIMULADOR!N39</f>
        <v>#VALUE!</v>
      </c>
      <c r="H17" s="150" t="s">
        <v>142</v>
      </c>
      <c r="I17" s="150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ht="16.5" thickBot="1" x14ac:dyDescent="0.3">
      <c r="A18" s="151" t="s">
        <v>99</v>
      </c>
      <c r="B18" s="172">
        <f>SIMULADOR!K22</f>
        <v>773500</v>
      </c>
      <c r="C18" s="173">
        <f>SIMULADOR!M22</f>
        <v>872508</v>
      </c>
      <c r="D18" s="148"/>
      <c r="E18" s="171" t="str">
        <f>SIMULADOR!K33</f>
        <v/>
      </c>
      <c r="F18" s="172" t="e">
        <f>SIMULADOR!L40</f>
        <v>#VALUE!</v>
      </c>
      <c r="G18" s="173" t="e">
        <f>SIMULADOR!N40</f>
        <v>#VALUE!</v>
      </c>
      <c r="H18" s="150" t="s">
        <v>142</v>
      </c>
      <c r="I18" s="150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ht="15.75" x14ac:dyDescent="0.25">
      <c r="A19" s="151"/>
      <c r="B19" s="148"/>
      <c r="C19" s="151"/>
      <c r="D19" s="151"/>
      <c r="E19" s="151"/>
      <c r="F19" s="151"/>
      <c r="G19" s="151"/>
      <c r="H19" s="150"/>
      <c r="I19" s="150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ht="15.75" x14ac:dyDescent="0.25">
      <c r="A20" s="151"/>
      <c r="B20" s="148"/>
      <c r="C20" s="151"/>
      <c r="D20" s="151"/>
      <c r="E20" s="151"/>
      <c r="F20" s="151"/>
      <c r="G20" s="151"/>
      <c r="H20" s="150"/>
      <c r="I20" s="150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ht="16.5" thickBot="1" x14ac:dyDescent="0.3">
      <c r="A21" s="148"/>
      <c r="B21" s="148"/>
      <c r="C21" s="148"/>
      <c r="D21" s="148"/>
      <c r="E21" s="148"/>
      <c r="F21" s="165" t="s">
        <v>94</v>
      </c>
      <c r="G21" s="165" t="s">
        <v>95</v>
      </c>
      <c r="H21" s="150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ht="16.5" thickBot="1" x14ac:dyDescent="0.3">
      <c r="A22" s="150" t="s">
        <v>100</v>
      </c>
      <c r="B22" s="174">
        <f>SIMULADOR!$G$22</f>
        <v>10</v>
      </c>
      <c r="C22" s="150"/>
      <c r="D22" s="175">
        <f>SIMULADOR!$G$23</f>
        <v>36</v>
      </c>
      <c r="E22" s="176" t="s">
        <v>101</v>
      </c>
      <c r="F22" s="166">
        <f>SIMULADOR!L27</f>
        <v>6445.8333333333339</v>
      </c>
      <c r="G22" s="167">
        <f>SIMULADOR!N27</f>
        <v>7270.9</v>
      </c>
      <c r="H22" s="150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ht="16.5" thickBot="1" x14ac:dyDescent="0.3">
      <c r="A23" s="150" t="s">
        <v>102</v>
      </c>
      <c r="B23" s="177">
        <f>SIMULADOR!$H$24</f>
        <v>0.02</v>
      </c>
      <c r="C23" s="150"/>
      <c r="D23" s="178">
        <f>SIMULADOR!$G$24</f>
        <v>84</v>
      </c>
      <c r="E23" s="176" t="s">
        <v>103</v>
      </c>
      <c r="F23" s="172">
        <f>SIMULADOR!L28</f>
        <v>13360.718289335437</v>
      </c>
      <c r="G23" s="173">
        <f>SIMULADOR!N28</f>
        <v>15070.890230370371</v>
      </c>
      <c r="H23" s="150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</row>
    <row r="24" spans="1:26" ht="16.5" thickBot="1" x14ac:dyDescent="0.3">
      <c r="A24" s="150"/>
      <c r="B24" s="179"/>
      <c r="C24" s="150"/>
      <c r="D24" s="180"/>
      <c r="E24" s="176"/>
      <c r="F24" s="176"/>
      <c r="G24" s="176"/>
      <c r="H24" s="150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ht="15.75" customHeight="1" thickBot="1" x14ac:dyDescent="0.3">
      <c r="A25" s="155" t="s">
        <v>161</v>
      </c>
      <c r="B25" s="216"/>
      <c r="C25" s="155" t="s">
        <v>141</v>
      </c>
      <c r="D25" s="181" t="str">
        <f>IF($B$7="AEROPUERTO (Lote)","",IF($B$7="AEROPUERTO (Nave)","",IF($B$7="PEDRO ESCOBEDO (Nave)","",IF($B$7="PEDRO ESCOBEDO (Lote)","",IF($B$7="SAN LUIS POTOSI (Nave)",20%,IF($B$7="SAN LUIS POTOSI (Lote)",20%,IF($B$7="GAMMA II ETAPA 1","",IF($B$7="GAMMA II ETAPA 2","",IF($B$7="CELTA","",IF($B$7="STA ROSA (Nave)","",""))))))))))</f>
        <v/>
      </c>
      <c r="E25" s="155" t="s">
        <v>195</v>
      </c>
      <c r="F25" s="216"/>
      <c r="H25" s="182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ht="15.75" customHeight="1" x14ac:dyDescent="0.25">
      <c r="A26" s="150"/>
      <c r="B26" s="182"/>
      <c r="C26" s="182"/>
      <c r="D26" s="182"/>
      <c r="E26" s="182"/>
      <c r="F26" s="182"/>
      <c r="G26" s="182"/>
      <c r="H26" s="182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</row>
    <row r="27" spans="1:26" ht="15.75" customHeight="1" x14ac:dyDescent="0.25">
      <c r="A27" s="268" t="s">
        <v>188</v>
      </c>
      <c r="B27" s="262"/>
      <c r="C27" s="262"/>
      <c r="D27" s="262"/>
      <c r="E27" s="262"/>
      <c r="F27" s="262"/>
      <c r="G27" s="262"/>
      <c r="H27" s="262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ht="15.75" customHeight="1" outlineLevel="1" x14ac:dyDescent="0.25">
      <c r="A28" s="183" t="s">
        <v>104</v>
      </c>
      <c r="B28" s="220"/>
      <c r="C28" s="220"/>
      <c r="D28" s="220"/>
      <c r="E28" s="221"/>
      <c r="F28" s="184" t="s">
        <v>105</v>
      </c>
      <c r="G28" s="261"/>
      <c r="H28" s="262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ht="15.75" customHeight="1" outlineLevel="1" x14ac:dyDescent="0.25">
      <c r="A29" s="185" t="s">
        <v>106</v>
      </c>
      <c r="B29" s="258"/>
      <c r="C29" s="251"/>
      <c r="D29" s="251"/>
      <c r="E29" s="251"/>
      <c r="F29" s="249"/>
      <c r="G29" s="249"/>
      <c r="H29" s="249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ht="15.75" customHeight="1" outlineLevel="1" x14ac:dyDescent="0.25">
      <c r="A30" s="186" t="s">
        <v>144</v>
      </c>
      <c r="B30" s="222"/>
      <c r="C30" s="218"/>
      <c r="D30" s="218"/>
      <c r="E30" s="218"/>
      <c r="F30" s="218"/>
      <c r="G30" s="218"/>
      <c r="H30" s="219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ht="15.75" customHeight="1" outlineLevel="1" x14ac:dyDescent="0.25">
      <c r="A31" s="185" t="s">
        <v>107</v>
      </c>
      <c r="B31" s="259"/>
      <c r="C31" s="249"/>
      <c r="D31" s="249"/>
      <c r="E31" s="249"/>
      <c r="F31" s="185"/>
      <c r="G31" s="185"/>
      <c r="H31" s="185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ht="15.75" customHeight="1" outlineLevel="1" x14ac:dyDescent="0.25">
      <c r="A32" s="185" t="s">
        <v>110</v>
      </c>
      <c r="B32" s="222"/>
      <c r="C32" s="219" t="s">
        <v>108</v>
      </c>
      <c r="D32" s="224"/>
      <c r="E32" s="223" t="s">
        <v>109</v>
      </c>
      <c r="F32" s="248"/>
      <c r="G32" s="249"/>
      <c r="H32" s="249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46" ht="15.75" customHeight="1" outlineLevel="1" x14ac:dyDescent="0.25">
      <c r="A33" s="185" t="s">
        <v>112</v>
      </c>
      <c r="B33" s="217"/>
      <c r="C33" s="188" t="s">
        <v>147</v>
      </c>
      <c r="D33" s="218"/>
      <c r="E33" s="184" t="s">
        <v>111</v>
      </c>
      <c r="F33" s="248"/>
      <c r="G33" s="249"/>
      <c r="H33" s="249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46" ht="15.75" customHeight="1" outlineLevel="1" x14ac:dyDescent="0.25">
      <c r="A34" s="185" t="s">
        <v>152</v>
      </c>
      <c r="B34" s="260"/>
      <c r="C34" s="260"/>
      <c r="D34" s="185"/>
      <c r="E34" s="184" t="s">
        <v>151</v>
      </c>
      <c r="F34" s="261"/>
      <c r="G34" s="262"/>
      <c r="H34" s="262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46" ht="15.75" customHeight="1" outlineLevel="1" x14ac:dyDescent="0.25">
      <c r="A35" s="185" t="s">
        <v>150</v>
      </c>
      <c r="B35" s="263"/>
      <c r="C35" s="263"/>
      <c r="D35" s="185"/>
      <c r="E35" s="184" t="s">
        <v>149</v>
      </c>
      <c r="F35" s="248"/>
      <c r="G35" s="249"/>
      <c r="H35" s="249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46" ht="13.5" customHeight="1" outlineLevel="1" x14ac:dyDescent="0.25">
      <c r="A36" s="185"/>
      <c r="B36" s="219"/>
      <c r="C36" s="219"/>
      <c r="D36" s="185"/>
      <c r="E36" s="185"/>
      <c r="F36" s="185"/>
      <c r="G36" s="185"/>
      <c r="H36" s="185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</row>
    <row r="37" spans="1:46" ht="15.75" customHeight="1" outlineLevel="1" x14ac:dyDescent="0.25">
      <c r="A37" s="185" t="s">
        <v>154</v>
      </c>
      <c r="B37" s="225"/>
      <c r="C37" s="185"/>
      <c r="D37" s="185"/>
      <c r="E37" s="185"/>
      <c r="F37" s="185"/>
      <c r="G37" s="185"/>
      <c r="H37" s="185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</row>
    <row r="38" spans="1:46" ht="15.75" customHeight="1" outlineLevel="1" x14ac:dyDescent="0.25">
      <c r="A38" s="185" t="s">
        <v>153</v>
      </c>
      <c r="B38" s="226"/>
      <c r="C38" s="185"/>
      <c r="D38" s="185"/>
      <c r="E38" s="185"/>
      <c r="F38" s="185"/>
      <c r="G38" s="185"/>
      <c r="H38" s="185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</row>
    <row r="39" spans="1:46" ht="4.5" customHeight="1" outlineLevel="1" x14ac:dyDescent="0.25">
      <c r="A39" s="185"/>
      <c r="B39" s="219"/>
      <c r="C39" s="185"/>
      <c r="D39" s="185"/>
      <c r="E39" s="185"/>
      <c r="F39" s="185"/>
      <c r="G39" s="185"/>
      <c r="H39" s="185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</row>
    <row r="40" spans="1:46" ht="15.75" customHeight="1" outlineLevel="1" x14ac:dyDescent="0.25">
      <c r="A40" s="185" t="s">
        <v>158</v>
      </c>
      <c r="B40" s="264"/>
      <c r="C40" s="265"/>
      <c r="D40" s="265"/>
      <c r="E40" s="266"/>
      <c r="F40" s="189"/>
      <c r="G40" s="189"/>
      <c r="H40" s="189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</row>
    <row r="41" spans="1:46" ht="15.75" customHeight="1" outlineLevel="1" x14ac:dyDescent="0.25">
      <c r="A41" s="185" t="s">
        <v>157</v>
      </c>
      <c r="B41" s="228"/>
      <c r="C41" s="228"/>
      <c r="D41" s="228"/>
      <c r="E41" s="228"/>
      <c r="F41" s="189"/>
      <c r="G41" s="189"/>
      <c r="H41" s="189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</row>
    <row r="42" spans="1:46" ht="15.75" customHeight="1" outlineLevel="1" x14ac:dyDescent="0.25">
      <c r="A42" s="185" t="s">
        <v>110</v>
      </c>
      <c r="B42" s="228"/>
      <c r="C42" s="227"/>
      <c r="D42" s="227"/>
      <c r="E42" s="223" t="s">
        <v>109</v>
      </c>
      <c r="F42" s="248"/>
      <c r="G42" s="249"/>
      <c r="H42" s="249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</row>
    <row r="43" spans="1:46" ht="15.75" customHeight="1" outlineLevel="1" x14ac:dyDescent="0.25">
      <c r="A43" s="185" t="s">
        <v>112</v>
      </c>
      <c r="B43" s="222"/>
      <c r="C43" s="188" t="s">
        <v>147</v>
      </c>
      <c r="D43" s="187"/>
      <c r="E43" s="184" t="s">
        <v>111</v>
      </c>
      <c r="F43" s="250"/>
      <c r="G43" s="251"/>
      <c r="H43" s="249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46" ht="15.75" customHeight="1" outlineLevel="1" x14ac:dyDescent="0.25">
      <c r="A44" s="185" t="s">
        <v>152</v>
      </c>
      <c r="B44" s="252"/>
      <c r="C44" s="253"/>
      <c r="D44" s="185"/>
      <c r="E44" s="184" t="s">
        <v>151</v>
      </c>
      <c r="F44" s="250"/>
      <c r="G44" s="251"/>
      <c r="H44" s="249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</row>
    <row r="45" spans="1:46" ht="15.75" customHeight="1" outlineLevel="1" x14ac:dyDescent="0.25">
      <c r="A45" s="185" t="s">
        <v>150</v>
      </c>
      <c r="B45" s="254"/>
      <c r="C45" s="255"/>
      <c r="D45" s="185"/>
      <c r="E45" s="184" t="s">
        <v>149</v>
      </c>
      <c r="F45" s="250"/>
      <c r="G45" s="251"/>
      <c r="H45" s="249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</row>
    <row r="46" spans="1:46" ht="15.75" customHeight="1" outlineLevel="1" thickBot="1" x14ac:dyDescent="0.3">
      <c r="A46" s="190"/>
      <c r="B46" s="219"/>
      <c r="C46" s="219"/>
      <c r="D46" s="185"/>
      <c r="E46" s="185"/>
      <c r="F46" s="219"/>
      <c r="G46" s="219"/>
      <c r="H46" s="185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</row>
    <row r="47" spans="1:46" ht="21" customHeight="1" thickBot="1" x14ac:dyDescent="0.3">
      <c r="A47" s="268" t="s">
        <v>156</v>
      </c>
      <c r="B47" s="262"/>
      <c r="C47" s="262"/>
      <c r="D47" s="262"/>
      <c r="E47" s="262"/>
      <c r="F47" s="262"/>
      <c r="G47" s="262"/>
      <c r="H47" s="262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2"/>
    </row>
    <row r="48" spans="1:46" ht="15.75" customHeight="1" outlineLevel="1" x14ac:dyDescent="0.25">
      <c r="A48" s="193" t="s">
        <v>203</v>
      </c>
      <c r="B48" s="220"/>
      <c r="C48" s="220"/>
      <c r="D48" s="220"/>
      <c r="E48" s="221"/>
      <c r="F48" s="184" t="s">
        <v>105</v>
      </c>
      <c r="G48" s="261"/>
      <c r="H48" s="262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</row>
    <row r="49" spans="1:26" ht="15.75" customHeight="1" outlineLevel="1" x14ac:dyDescent="0.25">
      <c r="A49" s="185" t="s">
        <v>106</v>
      </c>
      <c r="B49" s="258"/>
      <c r="C49" s="251"/>
      <c r="D49" s="251"/>
      <c r="E49" s="251"/>
      <c r="F49" s="249"/>
      <c r="G49" s="249"/>
      <c r="H49" s="249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</row>
    <row r="50" spans="1:26" ht="15.75" customHeight="1" outlineLevel="1" x14ac:dyDescent="0.25">
      <c r="A50" s="186" t="s">
        <v>144</v>
      </c>
      <c r="B50" s="222"/>
      <c r="C50" s="218"/>
      <c r="D50" s="218"/>
      <c r="E50" s="218"/>
      <c r="F50" s="218"/>
      <c r="G50" s="218"/>
      <c r="H50" s="219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</row>
    <row r="51" spans="1:26" ht="15.75" customHeight="1" outlineLevel="1" x14ac:dyDescent="0.25">
      <c r="A51" s="185" t="s">
        <v>107</v>
      </c>
      <c r="B51" s="259"/>
      <c r="C51" s="249"/>
      <c r="D51" s="249"/>
      <c r="E51" s="249"/>
      <c r="F51" s="185"/>
      <c r="G51" s="185"/>
      <c r="H51" s="185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</row>
    <row r="52" spans="1:26" ht="15.75" customHeight="1" outlineLevel="1" x14ac:dyDescent="0.25">
      <c r="A52" s="185" t="s">
        <v>110</v>
      </c>
      <c r="B52" s="222"/>
      <c r="C52" s="219" t="s">
        <v>108</v>
      </c>
      <c r="D52" s="224"/>
      <c r="E52" s="223" t="s">
        <v>109</v>
      </c>
      <c r="F52" s="248"/>
      <c r="G52" s="249"/>
      <c r="H52" s="249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</row>
    <row r="53" spans="1:26" ht="15.75" customHeight="1" outlineLevel="1" x14ac:dyDescent="0.25">
      <c r="A53" s="185" t="s">
        <v>112</v>
      </c>
      <c r="B53" s="217"/>
      <c r="C53" s="188" t="s">
        <v>147</v>
      </c>
      <c r="D53" s="218"/>
      <c r="E53" s="184" t="s">
        <v>111</v>
      </c>
      <c r="F53" s="248"/>
      <c r="G53" s="249"/>
      <c r="H53" s="249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</row>
    <row r="54" spans="1:26" ht="15.75" customHeight="1" outlineLevel="1" x14ac:dyDescent="0.25">
      <c r="A54" s="185" t="s">
        <v>152</v>
      </c>
      <c r="B54" s="260"/>
      <c r="C54" s="260"/>
      <c r="D54" s="185"/>
      <c r="E54" s="184" t="s">
        <v>151</v>
      </c>
      <c r="F54" s="261"/>
      <c r="G54" s="262"/>
      <c r="H54" s="262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</row>
    <row r="55" spans="1:26" ht="15.75" customHeight="1" outlineLevel="1" x14ac:dyDescent="0.25">
      <c r="A55" s="185" t="s">
        <v>150</v>
      </c>
      <c r="B55" s="263"/>
      <c r="C55" s="263"/>
      <c r="D55" s="185"/>
      <c r="E55" s="184" t="s">
        <v>149</v>
      </c>
      <c r="F55" s="248"/>
      <c r="G55" s="249"/>
      <c r="H55" s="249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</row>
    <row r="56" spans="1:26" ht="6.75" customHeight="1" outlineLevel="1" x14ac:dyDescent="0.25">
      <c r="A56" s="185"/>
      <c r="B56" s="219"/>
      <c r="C56" s="219"/>
      <c r="D56" s="185"/>
      <c r="E56" s="185"/>
      <c r="F56" s="185"/>
      <c r="G56" s="185"/>
      <c r="H56" s="185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</row>
    <row r="57" spans="1:26" ht="15.75" customHeight="1" outlineLevel="1" x14ac:dyDescent="0.25">
      <c r="A57" s="185" t="s">
        <v>154</v>
      </c>
      <c r="B57" s="225" t="s">
        <v>172</v>
      </c>
      <c r="C57" s="185"/>
      <c r="D57" s="185"/>
      <c r="E57" s="185"/>
      <c r="F57" s="185"/>
      <c r="G57" s="185"/>
      <c r="H57" s="185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</row>
    <row r="58" spans="1:26" ht="15.75" customHeight="1" outlineLevel="1" x14ac:dyDescent="0.25">
      <c r="A58" s="185" t="s">
        <v>153</v>
      </c>
      <c r="B58" s="226"/>
      <c r="C58" s="185"/>
      <c r="D58" s="185"/>
      <c r="E58" s="185"/>
      <c r="F58" s="185"/>
      <c r="G58" s="185"/>
      <c r="H58" s="185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</row>
    <row r="59" spans="1:26" ht="6.75" customHeight="1" outlineLevel="1" x14ac:dyDescent="0.25">
      <c r="A59" s="185"/>
      <c r="B59" s="219"/>
      <c r="C59" s="185"/>
      <c r="D59" s="185"/>
      <c r="E59" s="185"/>
      <c r="F59" s="185"/>
      <c r="G59" s="185"/>
      <c r="H59" s="185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</row>
    <row r="60" spans="1:26" ht="15.75" customHeight="1" outlineLevel="1" x14ac:dyDescent="0.25">
      <c r="A60" s="185" t="s">
        <v>158</v>
      </c>
      <c r="B60" s="264"/>
      <c r="C60" s="265"/>
      <c r="D60" s="265"/>
      <c r="E60" s="266"/>
      <c r="F60" s="189"/>
      <c r="G60" s="189"/>
      <c r="H60" s="189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</row>
    <row r="61" spans="1:26" ht="15.75" customHeight="1" outlineLevel="1" x14ac:dyDescent="0.25">
      <c r="A61" s="185" t="s">
        <v>191</v>
      </c>
      <c r="B61" s="228"/>
      <c r="C61" s="228"/>
      <c r="D61" s="228"/>
      <c r="E61" s="228"/>
      <c r="F61" s="189"/>
      <c r="G61" s="189"/>
      <c r="H61" s="189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</row>
    <row r="62" spans="1:26" ht="15.75" customHeight="1" outlineLevel="1" x14ac:dyDescent="0.25">
      <c r="A62" s="185" t="s">
        <v>110</v>
      </c>
      <c r="B62" s="228"/>
      <c r="C62" s="227"/>
      <c r="D62" s="227"/>
      <c r="E62" s="223" t="s">
        <v>109</v>
      </c>
      <c r="F62" s="248"/>
      <c r="G62" s="249"/>
      <c r="H62" s="249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</row>
    <row r="63" spans="1:26" ht="15.75" customHeight="1" outlineLevel="1" x14ac:dyDescent="0.25">
      <c r="A63" s="185" t="s">
        <v>112</v>
      </c>
      <c r="B63" s="222"/>
      <c r="C63" s="188" t="s">
        <v>147</v>
      </c>
      <c r="D63" s="187"/>
      <c r="E63" s="184" t="s">
        <v>111</v>
      </c>
      <c r="F63" s="250"/>
      <c r="G63" s="251"/>
      <c r="H63" s="249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</row>
    <row r="64" spans="1:26" ht="15.75" customHeight="1" outlineLevel="1" x14ac:dyDescent="0.25">
      <c r="A64" s="185" t="s">
        <v>152</v>
      </c>
      <c r="B64" s="252"/>
      <c r="C64" s="253"/>
      <c r="D64" s="185"/>
      <c r="E64" s="184" t="s">
        <v>151</v>
      </c>
      <c r="F64" s="250"/>
      <c r="G64" s="251"/>
      <c r="H64" s="249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</row>
    <row r="65" spans="1:26" ht="15.75" customHeight="1" outlineLevel="1" x14ac:dyDescent="0.25">
      <c r="A65" s="185" t="s">
        <v>150</v>
      </c>
      <c r="B65" s="254"/>
      <c r="C65" s="255"/>
      <c r="D65" s="185"/>
      <c r="E65" s="184" t="s">
        <v>149</v>
      </c>
      <c r="F65" s="250"/>
      <c r="G65" s="251"/>
      <c r="H65" s="249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</row>
    <row r="66" spans="1:26" ht="15.75" customHeight="1" outlineLevel="1" x14ac:dyDescent="0.25">
      <c r="A66" s="193" t="s">
        <v>202</v>
      </c>
      <c r="B66" s="220"/>
      <c r="C66" s="220"/>
      <c r="D66" s="220"/>
      <c r="E66" s="221"/>
      <c r="F66" s="184" t="s">
        <v>105</v>
      </c>
      <c r="G66" s="261"/>
      <c r="H66" s="262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</row>
    <row r="67" spans="1:26" ht="15.75" customHeight="1" outlineLevel="1" x14ac:dyDescent="0.25">
      <c r="A67" s="185" t="s">
        <v>106</v>
      </c>
      <c r="B67" s="258"/>
      <c r="C67" s="251"/>
      <c r="D67" s="251"/>
      <c r="E67" s="251"/>
      <c r="F67" s="249"/>
      <c r="G67" s="249"/>
      <c r="H67" s="249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</row>
    <row r="68" spans="1:26" ht="15.75" customHeight="1" outlineLevel="1" x14ac:dyDescent="0.25">
      <c r="A68" s="186" t="s">
        <v>144</v>
      </c>
      <c r="B68" s="222"/>
      <c r="C68" s="218"/>
      <c r="D68" s="218"/>
      <c r="E68" s="218"/>
      <c r="F68" s="218"/>
      <c r="G68" s="218"/>
      <c r="H68" s="219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</row>
    <row r="69" spans="1:26" ht="15.75" customHeight="1" outlineLevel="1" x14ac:dyDescent="0.25">
      <c r="A69" s="185" t="s">
        <v>107</v>
      </c>
      <c r="B69" s="259"/>
      <c r="C69" s="249"/>
      <c r="D69" s="249"/>
      <c r="E69" s="249"/>
      <c r="F69" s="185"/>
      <c r="G69" s="185"/>
      <c r="H69" s="185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</row>
    <row r="70" spans="1:26" ht="15.75" customHeight="1" outlineLevel="1" x14ac:dyDescent="0.25">
      <c r="A70" s="185" t="s">
        <v>110</v>
      </c>
      <c r="B70" s="222"/>
      <c r="C70" s="219" t="s">
        <v>108</v>
      </c>
      <c r="D70" s="224"/>
      <c r="E70" s="223" t="s">
        <v>109</v>
      </c>
      <c r="F70" s="248"/>
      <c r="G70" s="249"/>
      <c r="H70" s="249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</row>
    <row r="71" spans="1:26" ht="15.75" customHeight="1" outlineLevel="1" x14ac:dyDescent="0.25">
      <c r="A71" s="185" t="s">
        <v>112</v>
      </c>
      <c r="B71" s="217"/>
      <c r="C71" s="188" t="s">
        <v>147</v>
      </c>
      <c r="D71" s="218"/>
      <c r="E71" s="184" t="s">
        <v>111</v>
      </c>
      <c r="F71" s="248"/>
      <c r="G71" s="249"/>
      <c r="H71" s="249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</row>
    <row r="72" spans="1:26" ht="15.75" customHeight="1" outlineLevel="1" x14ac:dyDescent="0.25">
      <c r="A72" s="185" t="s">
        <v>152</v>
      </c>
      <c r="B72" s="260"/>
      <c r="C72" s="260"/>
      <c r="D72" s="185"/>
      <c r="E72" s="184" t="s">
        <v>151</v>
      </c>
      <c r="F72" s="261"/>
      <c r="G72" s="262"/>
      <c r="H72" s="262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</row>
    <row r="73" spans="1:26" ht="15.75" customHeight="1" outlineLevel="1" x14ac:dyDescent="0.25">
      <c r="A73" s="185" t="s">
        <v>150</v>
      </c>
      <c r="B73" s="263"/>
      <c r="C73" s="263"/>
      <c r="D73" s="185"/>
      <c r="E73" s="184" t="s">
        <v>149</v>
      </c>
      <c r="F73" s="248"/>
      <c r="G73" s="249"/>
      <c r="H73" s="249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</row>
    <row r="74" spans="1:26" ht="6" customHeight="1" outlineLevel="1" x14ac:dyDescent="0.25">
      <c r="A74" s="185"/>
      <c r="B74" s="219"/>
      <c r="C74" s="219"/>
      <c r="D74" s="185"/>
      <c r="E74" s="185"/>
      <c r="F74" s="185"/>
      <c r="G74" s="185"/>
      <c r="H74" s="185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</row>
    <row r="75" spans="1:26" ht="15.75" customHeight="1" outlineLevel="1" x14ac:dyDescent="0.25">
      <c r="A75" s="185" t="s">
        <v>154</v>
      </c>
      <c r="B75" s="225" t="s">
        <v>172</v>
      </c>
      <c r="C75" s="185"/>
      <c r="D75" s="185"/>
      <c r="E75" s="185"/>
      <c r="F75" s="185"/>
      <c r="G75" s="185"/>
      <c r="H75" s="185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</row>
    <row r="76" spans="1:26" ht="15.75" customHeight="1" outlineLevel="1" x14ac:dyDescent="0.25">
      <c r="A76" s="185" t="s">
        <v>153</v>
      </c>
      <c r="B76" s="226"/>
      <c r="C76" s="185"/>
      <c r="D76" s="185"/>
      <c r="E76" s="185"/>
      <c r="F76" s="185"/>
      <c r="G76" s="185"/>
      <c r="H76" s="185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</row>
    <row r="77" spans="1:26" ht="6" customHeight="1" outlineLevel="1" x14ac:dyDescent="0.25">
      <c r="A77" s="185"/>
      <c r="B77" s="219"/>
      <c r="C77" s="185"/>
      <c r="D77" s="185"/>
      <c r="E77" s="185"/>
      <c r="F77" s="185"/>
      <c r="G77" s="185"/>
      <c r="H77" s="185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</row>
    <row r="78" spans="1:26" ht="15.75" customHeight="1" outlineLevel="1" x14ac:dyDescent="0.25">
      <c r="A78" s="185" t="s">
        <v>158</v>
      </c>
      <c r="B78" s="264"/>
      <c r="C78" s="265"/>
      <c r="D78" s="265"/>
      <c r="E78" s="266"/>
      <c r="F78" s="189"/>
      <c r="G78" s="189"/>
      <c r="H78" s="189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</row>
    <row r="79" spans="1:26" ht="15.75" customHeight="1" outlineLevel="1" x14ac:dyDescent="0.25">
      <c r="A79" s="185" t="s">
        <v>191</v>
      </c>
      <c r="B79" s="228"/>
      <c r="C79" s="228"/>
      <c r="D79" s="228"/>
      <c r="E79" s="228"/>
      <c r="F79" s="189"/>
      <c r="G79" s="189"/>
      <c r="H79" s="189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</row>
    <row r="80" spans="1:26" ht="15.75" customHeight="1" outlineLevel="1" x14ac:dyDescent="0.25">
      <c r="A80" s="185" t="s">
        <v>110</v>
      </c>
      <c r="B80" s="228"/>
      <c r="C80" s="227"/>
      <c r="D80" s="227"/>
      <c r="E80" s="223" t="s">
        <v>109</v>
      </c>
      <c r="F80" s="248"/>
      <c r="G80" s="249"/>
      <c r="H80" s="249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</row>
    <row r="81" spans="1:26" ht="15.75" customHeight="1" outlineLevel="1" x14ac:dyDescent="0.25">
      <c r="A81" s="185" t="s">
        <v>112</v>
      </c>
      <c r="B81" s="222"/>
      <c r="C81" s="188" t="s">
        <v>147</v>
      </c>
      <c r="D81" s="187"/>
      <c r="E81" s="184" t="s">
        <v>111</v>
      </c>
      <c r="F81" s="250"/>
      <c r="G81" s="251"/>
      <c r="H81" s="249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</row>
    <row r="82" spans="1:26" ht="15.75" customHeight="1" outlineLevel="1" x14ac:dyDescent="0.25">
      <c r="A82" s="185" t="s">
        <v>152</v>
      </c>
      <c r="B82" s="252"/>
      <c r="C82" s="253"/>
      <c r="D82" s="185"/>
      <c r="E82" s="184" t="s">
        <v>151</v>
      </c>
      <c r="F82" s="250"/>
      <c r="G82" s="251"/>
      <c r="H82" s="249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</row>
    <row r="83" spans="1:26" ht="15.75" customHeight="1" outlineLevel="1" x14ac:dyDescent="0.25">
      <c r="A83" s="185" t="s">
        <v>150</v>
      </c>
      <c r="B83" s="254"/>
      <c r="C83" s="255"/>
      <c r="D83" s="185"/>
      <c r="E83" s="184" t="s">
        <v>149</v>
      </c>
      <c r="F83" s="250"/>
      <c r="G83" s="251"/>
      <c r="H83" s="249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</row>
    <row r="84" spans="1:26" ht="15.75" customHeight="1" outlineLevel="1" x14ac:dyDescent="0.25">
      <c r="A84" s="193" t="s">
        <v>204</v>
      </c>
      <c r="B84" s="220"/>
      <c r="C84" s="220"/>
      <c r="D84" s="220"/>
      <c r="E84" s="221"/>
      <c r="F84" s="184" t="s">
        <v>105</v>
      </c>
      <c r="G84" s="261"/>
      <c r="H84" s="262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</row>
    <row r="85" spans="1:26" ht="15.75" customHeight="1" outlineLevel="1" x14ac:dyDescent="0.25">
      <c r="A85" s="185" t="s">
        <v>106</v>
      </c>
      <c r="B85" s="258"/>
      <c r="C85" s="251"/>
      <c r="D85" s="251"/>
      <c r="E85" s="251"/>
      <c r="F85" s="249"/>
      <c r="G85" s="249"/>
      <c r="H85" s="249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</row>
    <row r="86" spans="1:26" ht="15.75" customHeight="1" outlineLevel="1" x14ac:dyDescent="0.25">
      <c r="A86" s="186" t="s">
        <v>144</v>
      </c>
      <c r="B86" s="222"/>
      <c r="C86" s="218"/>
      <c r="D86" s="218"/>
      <c r="E86" s="218"/>
      <c r="F86" s="218"/>
      <c r="G86" s="218"/>
      <c r="H86" s="219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</row>
    <row r="87" spans="1:26" ht="15.75" customHeight="1" outlineLevel="1" x14ac:dyDescent="0.25">
      <c r="A87" s="185" t="s">
        <v>107</v>
      </c>
      <c r="B87" s="259"/>
      <c r="C87" s="249"/>
      <c r="D87" s="249"/>
      <c r="E87" s="249"/>
      <c r="F87" s="185"/>
      <c r="G87" s="185"/>
      <c r="H87" s="185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</row>
    <row r="88" spans="1:26" ht="15.75" customHeight="1" outlineLevel="1" x14ac:dyDescent="0.25">
      <c r="A88" s="185" t="s">
        <v>110</v>
      </c>
      <c r="B88" s="222"/>
      <c r="C88" s="219" t="s">
        <v>108</v>
      </c>
      <c r="D88" s="224"/>
      <c r="E88" s="223" t="s">
        <v>109</v>
      </c>
      <c r="F88" s="248"/>
      <c r="G88" s="249"/>
      <c r="H88" s="249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</row>
    <row r="89" spans="1:26" ht="15.75" customHeight="1" outlineLevel="1" x14ac:dyDescent="0.25">
      <c r="A89" s="185" t="s">
        <v>112</v>
      </c>
      <c r="B89" s="217"/>
      <c r="C89" s="188" t="s">
        <v>147</v>
      </c>
      <c r="D89" s="218"/>
      <c r="E89" s="184" t="s">
        <v>111</v>
      </c>
      <c r="F89" s="248"/>
      <c r="G89" s="249"/>
      <c r="H89" s="249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</row>
    <row r="90" spans="1:26" ht="15.75" customHeight="1" outlineLevel="1" x14ac:dyDescent="0.25">
      <c r="A90" s="185" t="s">
        <v>152</v>
      </c>
      <c r="B90" s="260"/>
      <c r="C90" s="260"/>
      <c r="D90" s="185"/>
      <c r="E90" s="184" t="s">
        <v>151</v>
      </c>
      <c r="F90" s="261"/>
      <c r="G90" s="262"/>
      <c r="H90" s="262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</row>
    <row r="91" spans="1:26" ht="15.75" customHeight="1" outlineLevel="1" x14ac:dyDescent="0.25">
      <c r="A91" s="185" t="s">
        <v>150</v>
      </c>
      <c r="B91" s="263"/>
      <c r="C91" s="263"/>
      <c r="D91" s="185"/>
      <c r="E91" s="184" t="s">
        <v>149</v>
      </c>
      <c r="F91" s="248"/>
      <c r="G91" s="249"/>
      <c r="H91" s="249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</row>
    <row r="92" spans="1:26" ht="6" customHeight="1" outlineLevel="1" x14ac:dyDescent="0.25">
      <c r="A92" s="185"/>
      <c r="B92" s="219"/>
      <c r="C92" s="219"/>
      <c r="D92" s="185"/>
      <c r="E92" s="185"/>
      <c r="F92" s="185"/>
      <c r="G92" s="185"/>
      <c r="H92" s="185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</row>
    <row r="93" spans="1:26" ht="15.75" customHeight="1" outlineLevel="1" x14ac:dyDescent="0.25">
      <c r="A93" s="185" t="s">
        <v>154</v>
      </c>
      <c r="B93" s="225" t="s">
        <v>172</v>
      </c>
      <c r="C93" s="185"/>
      <c r="D93" s="185"/>
      <c r="E93" s="185"/>
      <c r="F93" s="185"/>
      <c r="G93" s="185"/>
      <c r="H93" s="185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</row>
    <row r="94" spans="1:26" ht="15.75" customHeight="1" outlineLevel="1" x14ac:dyDescent="0.25">
      <c r="A94" s="185" t="s">
        <v>153</v>
      </c>
      <c r="B94" s="226"/>
      <c r="C94" s="185"/>
      <c r="D94" s="185"/>
      <c r="E94" s="185"/>
      <c r="F94" s="185"/>
      <c r="G94" s="185"/>
      <c r="H94" s="185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</row>
    <row r="95" spans="1:26" ht="6" customHeight="1" outlineLevel="1" x14ac:dyDescent="0.25">
      <c r="A95" s="185"/>
      <c r="B95" s="219"/>
      <c r="C95" s="185"/>
      <c r="D95" s="185"/>
      <c r="E95" s="185"/>
      <c r="F95" s="185"/>
      <c r="G95" s="185"/>
      <c r="H95" s="185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</row>
    <row r="96" spans="1:26" ht="15.75" customHeight="1" outlineLevel="1" x14ac:dyDescent="0.25">
      <c r="A96" s="185" t="s">
        <v>158</v>
      </c>
      <c r="B96" s="264"/>
      <c r="C96" s="265"/>
      <c r="D96" s="265"/>
      <c r="E96" s="266"/>
      <c r="F96" s="189"/>
      <c r="G96" s="189"/>
      <c r="H96" s="189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</row>
    <row r="97" spans="1:26" ht="15.75" customHeight="1" outlineLevel="1" x14ac:dyDescent="0.25">
      <c r="A97" s="185" t="s">
        <v>191</v>
      </c>
      <c r="B97" s="228"/>
      <c r="C97" s="228"/>
      <c r="D97" s="228"/>
      <c r="E97" s="228"/>
      <c r="F97" s="189"/>
      <c r="G97" s="189"/>
      <c r="H97" s="189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</row>
    <row r="98" spans="1:26" ht="15.75" customHeight="1" outlineLevel="1" x14ac:dyDescent="0.25">
      <c r="A98" s="185" t="s">
        <v>110</v>
      </c>
      <c r="B98" s="228"/>
      <c r="C98" s="227"/>
      <c r="D98" s="227"/>
      <c r="E98" s="223" t="s">
        <v>109</v>
      </c>
      <c r="F98" s="248"/>
      <c r="G98" s="249"/>
      <c r="H98" s="249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</row>
    <row r="99" spans="1:26" ht="15.75" customHeight="1" outlineLevel="1" x14ac:dyDescent="0.25">
      <c r="A99" s="185" t="s">
        <v>112</v>
      </c>
      <c r="B99" s="222"/>
      <c r="C99" s="188" t="s">
        <v>147</v>
      </c>
      <c r="D99" s="187"/>
      <c r="E99" s="184" t="s">
        <v>111</v>
      </c>
      <c r="F99" s="250"/>
      <c r="G99" s="251"/>
      <c r="H99" s="249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</row>
    <row r="100" spans="1:26" ht="15.75" customHeight="1" outlineLevel="1" x14ac:dyDescent="0.25">
      <c r="A100" s="185" t="s">
        <v>152</v>
      </c>
      <c r="B100" s="252"/>
      <c r="C100" s="253"/>
      <c r="D100" s="185"/>
      <c r="E100" s="184" t="s">
        <v>151</v>
      </c>
      <c r="F100" s="250"/>
      <c r="G100" s="251"/>
      <c r="H100" s="249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</row>
    <row r="101" spans="1:26" ht="15.75" customHeight="1" outlineLevel="1" x14ac:dyDescent="0.25">
      <c r="A101" s="185" t="s">
        <v>150</v>
      </c>
      <c r="B101" s="254"/>
      <c r="C101" s="255"/>
      <c r="D101" s="185"/>
      <c r="E101" s="184" t="s">
        <v>149</v>
      </c>
      <c r="F101" s="250"/>
      <c r="G101" s="251"/>
      <c r="H101" s="249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</row>
    <row r="102" spans="1:26" ht="15.75" customHeight="1" x14ac:dyDescent="0.25">
      <c r="A102" s="268" t="s">
        <v>189</v>
      </c>
      <c r="B102" s="269"/>
      <c r="C102" s="269"/>
      <c r="D102" s="269"/>
      <c r="E102" s="269"/>
      <c r="F102" s="269"/>
      <c r="G102" s="269"/>
      <c r="H102" s="269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</row>
    <row r="103" spans="1:26" ht="15.75" customHeight="1" outlineLevel="1" x14ac:dyDescent="0.25">
      <c r="A103" s="229" t="s">
        <v>200</v>
      </c>
      <c r="B103" s="256"/>
      <c r="C103" s="256"/>
      <c r="D103" s="256"/>
      <c r="E103" s="256"/>
      <c r="F103" s="256"/>
      <c r="G103" s="256"/>
      <c r="H103" s="256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</row>
    <row r="104" spans="1:26" ht="15.75" customHeight="1" outlineLevel="1" x14ac:dyDescent="0.25">
      <c r="A104" s="148" t="s">
        <v>104</v>
      </c>
      <c r="B104" s="257"/>
      <c r="C104" s="257"/>
      <c r="D104" s="257"/>
      <c r="E104" s="257"/>
      <c r="F104" s="257"/>
      <c r="G104" s="257"/>
      <c r="H104" s="257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</row>
    <row r="105" spans="1:26" ht="15.75" customHeight="1" outlineLevel="1" x14ac:dyDescent="0.25">
      <c r="A105" s="148" t="s">
        <v>106</v>
      </c>
      <c r="B105" s="247"/>
      <c r="C105" s="247"/>
      <c r="D105" s="247"/>
      <c r="E105" s="247"/>
      <c r="F105" s="247"/>
      <c r="G105" s="247"/>
      <c r="H105" s="247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</row>
    <row r="106" spans="1:26" ht="15.75" customHeight="1" outlineLevel="1" x14ac:dyDescent="0.25">
      <c r="A106" s="148" t="s">
        <v>107</v>
      </c>
      <c r="B106" s="247"/>
      <c r="C106" s="247"/>
      <c r="D106" s="247"/>
      <c r="E106" s="247"/>
      <c r="F106" s="247"/>
      <c r="G106" s="247"/>
      <c r="H106" s="247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</row>
    <row r="107" spans="1:26" ht="15.75" customHeight="1" outlineLevel="1" x14ac:dyDescent="0.25">
      <c r="A107" s="148" t="s">
        <v>111</v>
      </c>
      <c r="B107" s="257"/>
      <c r="C107" s="267"/>
      <c r="D107" s="267"/>
      <c r="E107" s="267"/>
      <c r="F107" s="267"/>
      <c r="G107" s="267"/>
      <c r="H107" s="267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</row>
    <row r="108" spans="1:26" ht="15.75" customHeight="1" outlineLevel="1" x14ac:dyDescent="0.25">
      <c r="A108" s="148" t="s">
        <v>110</v>
      </c>
      <c r="B108" s="195"/>
      <c r="C108" s="148" t="s">
        <v>108</v>
      </c>
      <c r="D108" s="196"/>
      <c r="E108" s="196"/>
      <c r="F108" s="168" t="s">
        <v>109</v>
      </c>
      <c r="G108" s="196"/>
      <c r="H108" s="196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</row>
    <row r="109" spans="1:26" ht="15.75" customHeight="1" outlineLevel="1" x14ac:dyDescent="0.25">
      <c r="A109" s="148" t="s">
        <v>112</v>
      </c>
      <c r="B109" s="197"/>
      <c r="C109" s="168" t="s">
        <v>147</v>
      </c>
      <c r="D109" s="198"/>
      <c r="E109" s="199"/>
      <c r="F109" s="199"/>
      <c r="G109" s="200"/>
      <c r="H109" s="200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</row>
    <row r="110" spans="1:26" ht="15.75" hidden="1" customHeight="1" outlineLevel="2" x14ac:dyDescent="0.25">
      <c r="A110" s="229" t="s">
        <v>201</v>
      </c>
      <c r="B110" s="256"/>
      <c r="C110" s="256"/>
      <c r="D110" s="256"/>
      <c r="E110" s="256"/>
      <c r="F110" s="256"/>
      <c r="G110" s="256"/>
      <c r="H110" s="256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</row>
    <row r="111" spans="1:26" ht="15.75" hidden="1" customHeight="1" outlineLevel="2" x14ac:dyDescent="0.25">
      <c r="A111" s="148" t="s">
        <v>104</v>
      </c>
      <c r="B111" s="257"/>
      <c r="C111" s="257"/>
      <c r="D111" s="257"/>
      <c r="E111" s="257"/>
      <c r="F111" s="257"/>
      <c r="G111" s="257"/>
      <c r="H111" s="257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</row>
    <row r="112" spans="1:26" ht="15.75" hidden="1" customHeight="1" outlineLevel="2" x14ac:dyDescent="0.25">
      <c r="A112" s="148" t="s">
        <v>106</v>
      </c>
      <c r="B112" s="247"/>
      <c r="C112" s="247"/>
      <c r="D112" s="247"/>
      <c r="E112" s="247"/>
      <c r="F112" s="247"/>
      <c r="G112" s="247"/>
      <c r="H112" s="247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</row>
    <row r="113" spans="1:26" ht="15.75" hidden="1" customHeight="1" outlineLevel="2" x14ac:dyDescent="0.25">
      <c r="A113" s="148" t="s">
        <v>107</v>
      </c>
      <c r="B113" s="247"/>
      <c r="C113" s="247"/>
      <c r="D113" s="247"/>
      <c r="E113" s="247"/>
      <c r="F113" s="247"/>
      <c r="G113" s="247"/>
      <c r="H113" s="247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</row>
    <row r="114" spans="1:26" ht="15.75" hidden="1" customHeight="1" outlineLevel="2" x14ac:dyDescent="0.25">
      <c r="A114" s="148" t="s">
        <v>111</v>
      </c>
      <c r="B114" s="257"/>
      <c r="C114" s="267"/>
      <c r="D114" s="267"/>
      <c r="E114" s="267"/>
      <c r="F114" s="267"/>
      <c r="G114" s="267"/>
      <c r="H114" s="267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</row>
    <row r="115" spans="1:26" ht="15.75" hidden="1" customHeight="1" outlineLevel="2" x14ac:dyDescent="0.25">
      <c r="A115" s="148" t="s">
        <v>110</v>
      </c>
      <c r="B115" s="195"/>
      <c r="C115" s="148" t="s">
        <v>108</v>
      </c>
      <c r="D115" s="196"/>
      <c r="E115" s="196"/>
      <c r="F115" s="168" t="s">
        <v>109</v>
      </c>
      <c r="G115" s="196"/>
      <c r="H115" s="196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</row>
    <row r="116" spans="1:26" ht="15.75" hidden="1" customHeight="1" outlineLevel="2" x14ac:dyDescent="0.25">
      <c r="A116" s="148" t="s">
        <v>112</v>
      </c>
      <c r="B116" s="197"/>
      <c r="C116" s="168" t="s">
        <v>147</v>
      </c>
      <c r="D116" s="198"/>
      <c r="E116" s="199"/>
      <c r="F116" s="199"/>
      <c r="G116" s="200"/>
      <c r="H116" s="200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</row>
    <row r="117" spans="1:26" ht="15.75" hidden="1" customHeight="1" outlineLevel="2" x14ac:dyDescent="0.25">
      <c r="A117" s="148"/>
      <c r="B117" s="201"/>
      <c r="C117" s="199"/>
      <c r="D117" s="199"/>
      <c r="E117" s="199"/>
      <c r="F117" s="199"/>
      <c r="G117" s="200"/>
      <c r="H117" s="200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</row>
    <row r="118" spans="1:26" ht="15.75" customHeight="1" outlineLevel="1" collapsed="1" x14ac:dyDescent="0.25">
      <c r="A118" s="163" t="s">
        <v>190</v>
      </c>
      <c r="B118" s="194"/>
      <c r="C118" s="152"/>
      <c r="D118" s="152"/>
      <c r="E118" s="152"/>
      <c r="F118" s="168"/>
      <c r="G118" s="202"/>
      <c r="H118" s="200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</row>
    <row r="119" spans="1:26" ht="15.75" customHeight="1" outlineLevel="1" x14ac:dyDescent="0.25">
      <c r="A119" s="148" t="s">
        <v>106</v>
      </c>
      <c r="B119" s="257"/>
      <c r="C119" s="267"/>
      <c r="D119" s="267"/>
      <c r="E119" s="267"/>
      <c r="F119" s="267"/>
      <c r="G119" s="267"/>
      <c r="H119" s="267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</row>
    <row r="120" spans="1:26" ht="15.75" customHeight="1" outlineLevel="1" x14ac:dyDescent="0.25">
      <c r="A120" s="148" t="s">
        <v>104</v>
      </c>
      <c r="B120" s="257"/>
      <c r="C120" s="267"/>
      <c r="D120" s="267"/>
      <c r="E120" s="267"/>
      <c r="F120" s="168" t="s">
        <v>113</v>
      </c>
      <c r="G120" s="257"/>
      <c r="H120" s="267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</row>
    <row r="121" spans="1:26" ht="15.75" customHeight="1" outlineLevel="1" x14ac:dyDescent="0.25">
      <c r="A121" s="148" t="s">
        <v>106</v>
      </c>
      <c r="B121" s="257"/>
      <c r="C121" s="267"/>
      <c r="D121" s="267"/>
      <c r="E121" s="267"/>
      <c r="F121" s="267"/>
      <c r="G121" s="267"/>
      <c r="H121" s="267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</row>
    <row r="122" spans="1:26" ht="15.75" customHeight="1" outlineLevel="1" x14ac:dyDescent="0.25">
      <c r="A122" s="257"/>
      <c r="B122" s="267"/>
      <c r="C122" s="267"/>
      <c r="D122" s="267"/>
      <c r="E122" s="267"/>
      <c r="F122" s="267"/>
      <c r="G122" s="267"/>
      <c r="H122" s="267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</row>
    <row r="123" spans="1:26" ht="15.75" customHeight="1" outlineLevel="1" x14ac:dyDescent="0.25">
      <c r="A123" s="148" t="s">
        <v>107</v>
      </c>
      <c r="B123" s="247"/>
      <c r="C123" s="274"/>
      <c r="D123" s="274"/>
      <c r="E123" s="274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</row>
    <row r="124" spans="1:26" ht="15.75" customHeight="1" outlineLevel="1" x14ac:dyDescent="0.25">
      <c r="A124" s="148" t="s">
        <v>111</v>
      </c>
      <c r="B124" s="203"/>
      <c r="C124" s="283"/>
      <c r="D124" s="274"/>
      <c r="E124" s="284"/>
      <c r="F124" s="281"/>
      <c r="G124" s="281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</row>
    <row r="125" spans="1:26" ht="15.75" customHeight="1" outlineLevel="1" x14ac:dyDescent="0.25">
      <c r="A125" s="204" t="s">
        <v>114</v>
      </c>
      <c r="B125" s="256"/>
      <c r="C125" s="273"/>
      <c r="D125" s="273"/>
      <c r="E125" s="273"/>
      <c r="F125" s="168" t="s">
        <v>115</v>
      </c>
      <c r="G125" s="257"/>
      <c r="H125" s="267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</row>
    <row r="126" spans="1:26" ht="18.75" customHeight="1" outlineLevel="1" x14ac:dyDescent="0.25">
      <c r="A126" s="204"/>
      <c r="B126" s="201"/>
      <c r="C126" s="201"/>
      <c r="D126" s="201"/>
      <c r="E126" s="201"/>
      <c r="F126" s="168"/>
      <c r="G126" s="205"/>
      <c r="H126" s="205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</row>
    <row r="127" spans="1:26" ht="15.75" customHeight="1" outlineLevel="1" x14ac:dyDescent="0.25">
      <c r="A127" s="206" t="s">
        <v>116</v>
      </c>
      <c r="B127" s="207"/>
      <c r="C127" s="207"/>
      <c r="D127" s="207"/>
      <c r="E127" s="207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</row>
    <row r="128" spans="1:26" ht="15.75" customHeight="1" outlineLevel="1" x14ac:dyDescent="0.25">
      <c r="A128" s="204" t="s">
        <v>117</v>
      </c>
      <c r="B128" s="257"/>
      <c r="C128" s="267"/>
      <c r="D128" s="204" t="s">
        <v>118</v>
      </c>
      <c r="E128" s="204"/>
      <c r="F128" s="257"/>
      <c r="G128" s="267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</row>
    <row r="129" spans="1:26" ht="15.75" customHeight="1" outlineLevel="1" x14ac:dyDescent="0.25">
      <c r="A129" s="148" t="s">
        <v>119</v>
      </c>
      <c r="B129" s="257"/>
      <c r="C129" s="267"/>
      <c r="D129" s="148" t="s">
        <v>120</v>
      </c>
      <c r="E129" s="148"/>
      <c r="F129" s="247"/>
      <c r="G129" s="274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</row>
    <row r="130" spans="1:26" ht="15.75" customHeight="1" outlineLevel="1" x14ac:dyDescent="0.25">
      <c r="A130" s="148" t="s">
        <v>121</v>
      </c>
      <c r="B130" s="247"/>
      <c r="C130" s="274"/>
      <c r="D130" s="148" t="s">
        <v>122</v>
      </c>
      <c r="E130" s="148"/>
      <c r="F130" s="257"/>
      <c r="G130" s="267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</row>
    <row r="131" spans="1:26" ht="15.75" customHeight="1" outlineLevel="1" x14ac:dyDescent="0.25">
      <c r="A131" s="148" t="s">
        <v>123</v>
      </c>
      <c r="B131" s="257"/>
      <c r="C131" s="267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</row>
    <row r="132" spans="1:26" ht="15.75" customHeight="1" x14ac:dyDescent="0.25">
      <c r="A132" s="268" t="s">
        <v>124</v>
      </c>
      <c r="B132" s="262"/>
      <c r="C132" s="262"/>
      <c r="D132" s="262"/>
      <c r="E132" s="262"/>
      <c r="F132" s="262"/>
      <c r="G132" s="262"/>
      <c r="H132" s="262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</row>
    <row r="133" spans="1:26" ht="15.75" customHeight="1" x14ac:dyDescent="0.25">
      <c r="A133" s="208" t="s">
        <v>125</v>
      </c>
      <c r="B133" s="209"/>
      <c r="C133" s="209"/>
      <c r="D133" s="210" t="s">
        <v>126</v>
      </c>
      <c r="E133" s="211"/>
      <c r="F133" s="210" t="s">
        <v>205</v>
      </c>
      <c r="G133" s="212"/>
      <c r="H133" s="150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</row>
    <row r="134" spans="1:26" ht="15.75" customHeight="1" x14ac:dyDescent="0.25">
      <c r="A134" s="213" t="s">
        <v>192</v>
      </c>
      <c r="B134" s="150"/>
      <c r="C134" s="150"/>
      <c r="D134" s="150" t="s">
        <v>127</v>
      </c>
      <c r="F134" s="150" t="s">
        <v>206</v>
      </c>
      <c r="G134" s="150"/>
      <c r="H134" s="150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</row>
    <row r="135" spans="1:26" ht="15.75" customHeight="1" x14ac:dyDescent="0.25">
      <c r="A135" s="150" t="s">
        <v>197</v>
      </c>
      <c r="B135" s="150"/>
      <c r="C135" s="150"/>
      <c r="D135" s="150" t="s">
        <v>128</v>
      </c>
      <c r="F135" s="150" t="s">
        <v>207</v>
      </c>
      <c r="G135" s="150"/>
      <c r="H135" s="150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</row>
    <row r="136" spans="1:26" ht="15.75" customHeight="1" x14ac:dyDescent="0.25">
      <c r="A136" s="280" t="s">
        <v>145</v>
      </c>
      <c r="B136" s="281"/>
      <c r="C136" s="150"/>
      <c r="D136" s="150" t="s">
        <v>129</v>
      </c>
      <c r="F136" s="150" t="s">
        <v>208</v>
      </c>
      <c r="G136" s="150"/>
      <c r="H136" s="150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</row>
    <row r="137" spans="1:26" ht="15.75" customHeight="1" x14ac:dyDescent="0.25">
      <c r="A137" s="280" t="s">
        <v>198</v>
      </c>
      <c r="B137" s="281"/>
      <c r="C137" s="150"/>
      <c r="D137" s="150" t="s">
        <v>130</v>
      </c>
      <c r="F137" s="150" t="s">
        <v>209</v>
      </c>
      <c r="G137" s="150"/>
      <c r="H137" s="150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</row>
    <row r="138" spans="1:26" ht="15.75" customHeight="1" x14ac:dyDescent="0.25">
      <c r="A138" s="282" t="s">
        <v>194</v>
      </c>
      <c r="B138" s="282"/>
      <c r="C138" s="150"/>
      <c r="D138" s="150" t="s">
        <v>131</v>
      </c>
      <c r="F138" s="150" t="s">
        <v>210</v>
      </c>
      <c r="G138" s="150"/>
      <c r="H138" s="150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</row>
    <row r="139" spans="1:26" ht="15.75" customHeight="1" x14ac:dyDescent="0.25">
      <c r="A139" s="280" t="s">
        <v>146</v>
      </c>
      <c r="B139" s="280"/>
      <c r="C139" s="150"/>
      <c r="D139" s="150" t="s">
        <v>199</v>
      </c>
      <c r="F139" s="150"/>
      <c r="G139" s="150"/>
      <c r="H139" s="150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</row>
    <row r="140" spans="1:26" ht="15.75" customHeight="1" x14ac:dyDescent="0.25">
      <c r="A140" s="148" t="s">
        <v>193</v>
      </c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</row>
    <row r="141" spans="1:26" ht="15.75" customHeight="1" x14ac:dyDescent="0.25">
      <c r="A141" s="148" t="s">
        <v>131</v>
      </c>
      <c r="B141" s="148"/>
      <c r="C141" s="148"/>
      <c r="D141" s="163" t="s">
        <v>211</v>
      </c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</row>
    <row r="142" spans="1:26" ht="15.75" customHeight="1" x14ac:dyDescent="0.25">
      <c r="A142" s="148" t="s">
        <v>145</v>
      </c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</row>
    <row r="143" spans="1:26" ht="15.75" customHeight="1" x14ac:dyDescent="0.25">
      <c r="A143" s="268" t="s">
        <v>132</v>
      </c>
      <c r="B143" s="262"/>
      <c r="C143" s="262"/>
      <c r="D143" s="262"/>
      <c r="E143" s="262"/>
      <c r="F143" s="262"/>
      <c r="G143" s="262"/>
      <c r="H143" s="262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</row>
    <row r="144" spans="1:26" ht="15.75" customHeight="1" x14ac:dyDescent="0.25">
      <c r="A144" s="214"/>
      <c r="B144" s="214"/>
      <c r="C144" s="214"/>
      <c r="D144" s="214"/>
      <c r="E144" s="214"/>
      <c r="F144" s="214"/>
      <c r="G144" s="214"/>
      <c r="H144" s="214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</row>
    <row r="145" spans="1:26" ht="15.75" customHeight="1" x14ac:dyDescent="0.25">
      <c r="A145" s="214"/>
      <c r="B145" s="214"/>
      <c r="C145" s="214"/>
      <c r="D145" s="214"/>
      <c r="E145" s="214"/>
      <c r="F145" s="214"/>
      <c r="G145" s="214"/>
      <c r="H145" s="214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</row>
    <row r="146" spans="1:26" ht="15.75" customHeight="1" x14ac:dyDescent="0.25">
      <c r="A146" s="214"/>
      <c r="B146" s="214"/>
      <c r="C146" s="214"/>
      <c r="D146" s="214"/>
      <c r="E146" s="214"/>
      <c r="F146" s="214"/>
      <c r="G146" s="214"/>
      <c r="H146" s="214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</row>
    <row r="147" spans="1:26" ht="15.75" customHeight="1" x14ac:dyDescent="0.25">
      <c r="A147" s="214"/>
      <c r="B147" s="214"/>
      <c r="C147" s="214"/>
      <c r="D147" s="214"/>
      <c r="E147" s="214"/>
      <c r="F147" s="214"/>
      <c r="G147" s="214"/>
      <c r="H147" s="214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</row>
    <row r="148" spans="1:26" ht="15.75" customHeight="1" x14ac:dyDescent="0.25">
      <c r="A148" s="214"/>
      <c r="B148" s="214"/>
      <c r="C148" s="214"/>
      <c r="D148" s="214"/>
      <c r="E148" s="214"/>
      <c r="F148" s="214"/>
      <c r="G148" s="214"/>
      <c r="H148" s="214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</row>
    <row r="149" spans="1:26" ht="15.75" customHeight="1" x14ac:dyDescent="0.25">
      <c r="A149" s="214"/>
      <c r="B149" s="214"/>
      <c r="C149" s="214"/>
      <c r="D149" s="214"/>
      <c r="E149" s="214"/>
      <c r="F149" s="214"/>
      <c r="G149" s="214"/>
      <c r="H149" s="214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</row>
    <row r="150" spans="1:26" ht="15.75" customHeight="1" x14ac:dyDescent="0.25">
      <c r="A150" s="214"/>
      <c r="B150" s="214"/>
      <c r="C150" s="214"/>
      <c r="D150" s="214"/>
      <c r="E150" s="214"/>
      <c r="F150" s="214"/>
      <c r="G150" s="214"/>
      <c r="H150" s="214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</row>
    <row r="151" spans="1:26" ht="15.75" customHeight="1" x14ac:dyDescent="0.25">
      <c r="A151" s="214"/>
      <c r="B151" s="214"/>
      <c r="C151" s="214"/>
      <c r="D151" s="214"/>
      <c r="E151" s="214"/>
      <c r="F151" s="214"/>
      <c r="G151" s="214"/>
      <c r="H151" s="214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</row>
    <row r="152" spans="1:26" ht="15.75" customHeight="1" x14ac:dyDescent="0.25">
      <c r="A152" s="214"/>
      <c r="B152" s="214"/>
      <c r="C152" s="214"/>
      <c r="D152" s="214"/>
      <c r="E152" s="214"/>
      <c r="F152" s="214"/>
      <c r="G152" s="214"/>
      <c r="H152" s="214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</row>
    <row r="153" spans="1:26" ht="15.75" customHeight="1" x14ac:dyDescent="0.25">
      <c r="A153" s="214"/>
      <c r="B153" s="214"/>
      <c r="C153" s="214"/>
      <c r="D153" s="214"/>
      <c r="E153" s="214"/>
      <c r="F153" s="214"/>
      <c r="G153" s="214"/>
      <c r="H153" s="214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</row>
    <row r="154" spans="1:26" ht="15.75" customHeight="1" x14ac:dyDescent="0.25">
      <c r="A154" s="214"/>
      <c r="B154" s="214"/>
      <c r="C154" s="214"/>
      <c r="D154" s="214"/>
      <c r="E154" s="214"/>
      <c r="F154" s="214"/>
      <c r="G154" s="214"/>
      <c r="H154" s="214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</row>
    <row r="155" spans="1:26" ht="15.75" customHeight="1" x14ac:dyDescent="0.25">
      <c r="A155" s="214"/>
      <c r="B155" s="214"/>
      <c r="C155" s="214"/>
      <c r="D155" s="214"/>
      <c r="E155" s="214"/>
      <c r="F155" s="214"/>
      <c r="G155" s="214"/>
      <c r="H155" s="214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</row>
    <row r="156" spans="1:26" ht="15.75" customHeight="1" x14ac:dyDescent="0.25">
      <c r="A156" s="214"/>
      <c r="B156" s="214"/>
      <c r="C156" s="214"/>
      <c r="D156" s="214"/>
      <c r="E156" s="214"/>
      <c r="F156" s="214"/>
      <c r="G156" s="214"/>
      <c r="H156" s="214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</row>
    <row r="157" spans="1:26" ht="15.75" customHeight="1" x14ac:dyDescent="0.25">
      <c r="A157" s="214"/>
      <c r="B157" s="214"/>
      <c r="C157" s="214"/>
      <c r="D157" s="214"/>
      <c r="E157" s="214"/>
      <c r="F157" s="214"/>
      <c r="G157" s="214"/>
      <c r="H157" s="214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</row>
    <row r="158" spans="1:26" ht="15.75" customHeight="1" x14ac:dyDescent="0.25">
      <c r="A158" s="214"/>
      <c r="B158" s="214"/>
      <c r="C158" s="214"/>
      <c r="D158" s="214"/>
      <c r="E158" s="214"/>
      <c r="F158" s="214"/>
      <c r="G158" s="214"/>
      <c r="H158" s="214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</row>
    <row r="159" spans="1:26" ht="15.75" customHeight="1" x14ac:dyDescent="0.25">
      <c r="A159" s="214"/>
      <c r="B159" s="214"/>
      <c r="C159" s="214"/>
      <c r="D159" s="214"/>
      <c r="E159" s="214"/>
      <c r="F159" s="214"/>
      <c r="G159" s="214"/>
      <c r="H159" s="214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</row>
    <row r="160" spans="1:26" ht="15.75" customHeight="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</row>
    <row r="161" spans="1:26" ht="15.75" customHeight="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</row>
    <row r="162" spans="1:26" ht="15.75" customHeight="1" thickBot="1" x14ac:dyDescent="0.3">
      <c r="A162" s="148"/>
      <c r="B162" s="148"/>
      <c r="C162" s="148"/>
      <c r="D162" s="148"/>
      <c r="E162" s="148" t="s">
        <v>133</v>
      </c>
      <c r="F162" s="275"/>
      <c r="G162" s="276"/>
      <c r="H162" s="276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</row>
    <row r="163" spans="1:26" ht="15.75" customHeight="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</row>
    <row r="164" spans="1:26" ht="15.75" customHeight="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</row>
    <row r="165" spans="1:26" ht="15.75" customHeight="1" thickBot="1" x14ac:dyDescent="0.3">
      <c r="A165" s="279"/>
      <c r="B165" s="276"/>
      <c r="C165" s="148"/>
      <c r="D165" s="148"/>
      <c r="E165" s="279"/>
      <c r="F165" s="276"/>
      <c r="G165" s="276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</row>
    <row r="166" spans="1:26" ht="15.75" customHeight="1" x14ac:dyDescent="0.25">
      <c r="A166" s="277" t="s">
        <v>134</v>
      </c>
      <c r="B166" s="278"/>
      <c r="C166" s="148"/>
      <c r="D166" s="148"/>
      <c r="E166" s="277" t="s">
        <v>135</v>
      </c>
      <c r="F166" s="278"/>
      <c r="G166" s="27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</row>
    <row r="167" spans="1:26" ht="15.75" customHeight="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</row>
    <row r="168" spans="1:26" ht="15.75" customHeight="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</row>
    <row r="169" spans="1:26" ht="15.75" customHeight="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</row>
    <row r="170" spans="1:26" ht="15.75" customHeight="1" thickBot="1" x14ac:dyDescent="0.3">
      <c r="A170" s="148"/>
      <c r="B170" s="275"/>
      <c r="C170" s="276"/>
      <c r="D170" s="276"/>
      <c r="E170" s="276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</row>
    <row r="171" spans="1:26" ht="15.75" customHeight="1" x14ac:dyDescent="0.25">
      <c r="A171" s="148"/>
      <c r="B171" s="277" t="s">
        <v>136</v>
      </c>
      <c r="C171" s="278"/>
      <c r="D171" s="278"/>
      <c r="E171" s="27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</row>
    <row r="172" spans="1:26" ht="15.75" customHeight="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</row>
    <row r="173" spans="1:26" ht="15.75" customHeight="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</row>
    <row r="174" spans="1:26" ht="15.75" customHeight="1" thickBot="1" x14ac:dyDescent="0.3">
      <c r="A174" s="148"/>
      <c r="B174" s="148"/>
      <c r="C174" s="148"/>
      <c r="D174" s="148"/>
      <c r="E174" s="168" t="s">
        <v>137</v>
      </c>
      <c r="F174" s="215"/>
      <c r="G174" s="215"/>
      <c r="H174" s="215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</row>
    <row r="175" spans="1:26" ht="15.75" customHeight="1" thickBot="1" x14ac:dyDescent="0.3">
      <c r="A175" s="148"/>
      <c r="B175" s="148"/>
      <c r="C175" s="148"/>
      <c r="D175" s="148"/>
      <c r="E175" s="168" t="s">
        <v>138</v>
      </c>
      <c r="F175" s="215"/>
      <c r="G175" s="215"/>
      <c r="H175" s="215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</row>
    <row r="176" spans="1:26" ht="15.75" customHeight="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</row>
    <row r="177" spans="1:26" ht="15.75" customHeight="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</row>
    <row r="178" spans="1:26" ht="15.75" customHeight="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</row>
    <row r="179" spans="1:26" ht="15.75" customHeight="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</row>
    <row r="180" spans="1:26" ht="15.75" customHeight="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</row>
    <row r="181" spans="1:26" ht="15.75" customHeight="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</row>
    <row r="182" spans="1:26" ht="15.75" customHeight="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</row>
    <row r="183" spans="1:26" ht="15.75" customHeight="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</row>
    <row r="184" spans="1:26" ht="15.75" customHeight="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</row>
    <row r="185" spans="1:26" ht="15.75" customHeight="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</row>
    <row r="186" spans="1:26" ht="15.75" customHeight="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</row>
    <row r="187" spans="1:26" ht="15.75" customHeight="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</row>
    <row r="188" spans="1:26" ht="15.75" customHeight="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</row>
    <row r="189" spans="1:26" ht="15.75" customHeight="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</row>
    <row r="190" spans="1:26" ht="15.75" customHeight="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</row>
    <row r="191" spans="1:26" ht="15.75" customHeight="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</row>
    <row r="192" spans="1:26" ht="15.75" customHeight="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</row>
    <row r="193" spans="1:26" ht="15.75" customHeight="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</row>
    <row r="194" spans="1:26" ht="15.75" customHeight="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</row>
    <row r="195" spans="1:26" ht="15.75" customHeight="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</row>
    <row r="196" spans="1:26" ht="15.75" customHeight="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</row>
    <row r="197" spans="1:26" ht="15.75" customHeight="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</row>
    <row r="198" spans="1:26" ht="15.75" customHeight="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</row>
    <row r="199" spans="1:26" ht="15.75" customHeight="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</row>
    <row r="200" spans="1:26" ht="15.75" customHeight="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</row>
    <row r="201" spans="1:26" ht="15.75" customHeight="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</row>
    <row r="202" spans="1:26" ht="15.75" customHeight="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</row>
    <row r="203" spans="1:26" ht="15.75" customHeight="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</row>
    <row r="204" spans="1:26" ht="15.75" customHeight="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</row>
    <row r="205" spans="1:26" ht="15.75" customHeight="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</row>
    <row r="206" spans="1:26" ht="15.75" customHeight="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</row>
    <row r="207" spans="1:26" ht="15.75" customHeight="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</row>
    <row r="208" spans="1:26" ht="15.75" customHeight="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</row>
    <row r="209" spans="1:26" ht="15.75" customHeight="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</row>
    <row r="210" spans="1:26" ht="15.75" customHeight="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</row>
    <row r="211" spans="1:26" ht="15.75" customHeight="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</row>
    <row r="212" spans="1:26" ht="15.75" customHeight="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</row>
    <row r="213" spans="1:26" ht="15.75" customHeight="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</row>
    <row r="214" spans="1:26" ht="15.75" customHeight="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</row>
    <row r="215" spans="1:26" ht="15.75" customHeight="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</row>
    <row r="216" spans="1:26" ht="15.75" customHeight="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</row>
    <row r="217" spans="1:26" ht="15.75" customHeight="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</row>
    <row r="218" spans="1:26" ht="15.75" customHeight="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</row>
    <row r="219" spans="1:26" ht="15.75" customHeight="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</row>
    <row r="220" spans="1:26" ht="15.75" customHeight="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</row>
    <row r="221" spans="1:26" ht="15.75" customHeight="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</row>
    <row r="222" spans="1:26" ht="15.75" customHeight="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</row>
    <row r="223" spans="1:26" ht="15.75" customHeight="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</row>
    <row r="224" spans="1:26" ht="15.75" customHeight="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</row>
    <row r="225" spans="1:26" ht="15.75" customHeight="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</row>
    <row r="226" spans="1:26" ht="15.75" customHeight="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</row>
    <row r="227" spans="1:26" ht="15.75" customHeight="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</row>
    <row r="228" spans="1:26" ht="15.75" customHeight="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</row>
    <row r="229" spans="1:26" ht="15.75" customHeight="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</row>
    <row r="230" spans="1:26" ht="15.75" customHeight="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</row>
    <row r="231" spans="1:26" ht="15.75" customHeight="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</row>
    <row r="232" spans="1:26" ht="15.75" customHeight="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</row>
    <row r="233" spans="1:26" ht="15.75" customHeight="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</row>
    <row r="234" spans="1:26" ht="15.75" customHeight="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</row>
    <row r="235" spans="1:26" ht="15.75" customHeight="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</row>
    <row r="236" spans="1:26" ht="15.75" customHeight="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</row>
    <row r="237" spans="1:26" ht="15.75" customHeight="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</row>
    <row r="238" spans="1:26" ht="15.75" customHeight="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</row>
    <row r="239" spans="1:26" ht="15.75" customHeight="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</row>
    <row r="240" spans="1:26" ht="15.75" customHeight="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</row>
    <row r="241" spans="1:26" ht="15.75" customHeight="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</row>
    <row r="242" spans="1:26" ht="15.75" customHeight="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</row>
    <row r="243" spans="1:26" ht="15.75" customHeight="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</row>
    <row r="244" spans="1:26" ht="15.75" customHeight="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</row>
    <row r="245" spans="1:26" ht="15.75" customHeight="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</row>
    <row r="246" spans="1:26" ht="15.75" customHeight="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</row>
    <row r="247" spans="1:26" ht="15.75" customHeight="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</row>
    <row r="248" spans="1:26" ht="15.75" customHeight="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</row>
    <row r="249" spans="1:26" ht="15.75" customHeight="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</row>
    <row r="250" spans="1:26" ht="15.75" customHeight="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</row>
    <row r="251" spans="1:26" ht="15.75" customHeight="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</row>
    <row r="252" spans="1:26" ht="15.75" customHeight="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</row>
    <row r="253" spans="1:26" ht="15.75" customHeight="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</row>
    <row r="254" spans="1:26" ht="15.75" customHeight="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</row>
    <row r="255" spans="1:26" ht="15.75" customHeight="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</row>
    <row r="256" spans="1:26" ht="15.75" customHeight="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</row>
    <row r="257" spans="1:26" ht="15.75" customHeight="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</row>
    <row r="258" spans="1:26" ht="15.75" customHeight="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</row>
    <row r="259" spans="1:26" ht="15.75" customHeight="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</row>
    <row r="260" spans="1:26" ht="15.75" customHeight="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</row>
    <row r="261" spans="1:26" ht="15.75" customHeight="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</row>
    <row r="262" spans="1:26" ht="15.75" customHeight="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</row>
    <row r="263" spans="1:26" ht="15.75" customHeight="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</row>
    <row r="264" spans="1:26" ht="15.75" customHeight="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</row>
    <row r="265" spans="1:26" ht="15.75" customHeight="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</row>
    <row r="266" spans="1:26" ht="15.75" customHeight="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</row>
    <row r="267" spans="1:26" ht="15.75" customHeight="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</row>
    <row r="268" spans="1:26" ht="15.75" customHeight="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</row>
    <row r="269" spans="1:26" ht="15.75" customHeight="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</row>
    <row r="270" spans="1:26" ht="15.75" customHeight="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</row>
    <row r="271" spans="1:26" ht="15.75" customHeight="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</row>
    <row r="272" spans="1:26" ht="15.75" customHeight="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</row>
    <row r="273" spans="1:26" ht="15.75" customHeight="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</row>
    <row r="274" spans="1:26" ht="15.75" customHeight="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</row>
    <row r="275" spans="1:26" ht="15.75" customHeight="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</row>
    <row r="276" spans="1:26" ht="15.75" customHeight="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</row>
    <row r="277" spans="1:26" ht="15.75" customHeight="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</row>
    <row r="278" spans="1:26" ht="15.75" customHeight="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</row>
    <row r="279" spans="1:26" ht="15.75" customHeight="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</row>
    <row r="280" spans="1:26" ht="15.75" customHeight="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</row>
    <row r="281" spans="1:26" ht="15.75" customHeight="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</row>
    <row r="282" spans="1:26" ht="15.75" customHeight="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</row>
    <row r="283" spans="1:26" ht="15.75" customHeight="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</row>
    <row r="284" spans="1:26" ht="15.75" customHeight="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</row>
    <row r="285" spans="1:26" ht="15.75" customHeight="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</row>
    <row r="286" spans="1:26" ht="15.75" customHeight="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</row>
    <row r="287" spans="1:26" ht="15.75" customHeight="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</row>
    <row r="288" spans="1:26" ht="15.75" customHeight="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</row>
    <row r="289" spans="1:26" ht="15.75" customHeight="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</row>
    <row r="290" spans="1:26" ht="15.75" customHeight="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</row>
    <row r="291" spans="1:26" ht="15.75" customHeight="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</row>
    <row r="292" spans="1:26" ht="15.75" customHeight="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</row>
    <row r="293" spans="1:26" ht="15.75" customHeight="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</row>
    <row r="294" spans="1:26" ht="15.75" customHeight="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</row>
    <row r="295" spans="1:26" ht="15.75" customHeight="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</row>
    <row r="296" spans="1:26" ht="15.75" customHeight="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</row>
    <row r="297" spans="1:26" ht="15.75" customHeight="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</row>
    <row r="298" spans="1:26" ht="15.75" customHeight="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</row>
    <row r="299" spans="1:26" ht="15.75" customHeight="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</row>
    <row r="300" spans="1:26" ht="15.75" customHeight="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</row>
    <row r="301" spans="1:26" ht="15.75" customHeight="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</row>
    <row r="302" spans="1:26" ht="15.75" customHeight="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</row>
    <row r="303" spans="1:26" ht="15.75" customHeight="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</row>
    <row r="304" spans="1:26" ht="15.75" customHeight="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</row>
    <row r="305" spans="1:26" ht="15.75" customHeight="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</row>
    <row r="306" spans="1:26" ht="15.75" customHeight="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</row>
    <row r="307" spans="1:26" ht="15.75" customHeight="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</row>
    <row r="308" spans="1:26" ht="15.75" customHeight="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</row>
    <row r="309" spans="1:26" ht="15.75" customHeight="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</row>
    <row r="310" spans="1:26" ht="15.75" customHeight="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</row>
    <row r="311" spans="1:26" ht="15.75" customHeight="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</row>
    <row r="312" spans="1:26" ht="15.75" customHeight="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</row>
    <row r="313" spans="1:26" ht="15.75" customHeight="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</row>
    <row r="314" spans="1:26" ht="15.75" customHeight="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</row>
    <row r="315" spans="1:26" ht="15.75" customHeight="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</row>
    <row r="316" spans="1:26" ht="15.75" customHeight="1" x14ac:dyDescent="0.25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</row>
    <row r="317" spans="1:26" ht="15.75" customHeight="1" x14ac:dyDescent="0.25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</row>
    <row r="318" spans="1:26" ht="15.75" customHeight="1" x14ac:dyDescent="0.25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</row>
    <row r="319" spans="1:26" ht="15.75" customHeight="1" x14ac:dyDescent="0.25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</row>
    <row r="320" spans="1:26" ht="15.75" customHeight="1" x14ac:dyDescent="0.25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</row>
    <row r="321" spans="1:26" ht="15.75" customHeight="1" x14ac:dyDescent="0.25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</row>
    <row r="322" spans="1:26" ht="15.75" customHeight="1" x14ac:dyDescent="0.25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</row>
    <row r="323" spans="1:26" ht="15.75" customHeight="1" x14ac:dyDescent="0.25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</row>
    <row r="324" spans="1:26" ht="15.75" customHeight="1" x14ac:dyDescent="0.25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</row>
    <row r="325" spans="1:26" ht="15.75" customHeight="1" x14ac:dyDescent="0.25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</row>
    <row r="326" spans="1:26" ht="15.75" customHeight="1" x14ac:dyDescent="0.25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</row>
    <row r="327" spans="1:26" ht="15.75" customHeight="1" x14ac:dyDescent="0.25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</row>
    <row r="328" spans="1:26" ht="15.75" customHeight="1" x14ac:dyDescent="0.25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</row>
    <row r="329" spans="1:26" ht="15.75" customHeight="1" x14ac:dyDescent="0.25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</row>
    <row r="330" spans="1:26" ht="15.75" customHeight="1" x14ac:dyDescent="0.25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</row>
    <row r="331" spans="1:26" ht="15.75" customHeight="1" x14ac:dyDescent="0.25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</row>
    <row r="332" spans="1:26" ht="15.75" customHeight="1" x14ac:dyDescent="0.25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</row>
    <row r="333" spans="1:26" ht="15.75" customHeight="1" x14ac:dyDescent="0.25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</row>
    <row r="334" spans="1:26" ht="15.75" customHeight="1" x14ac:dyDescent="0.25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</row>
    <row r="335" spans="1:26" ht="15.75" customHeight="1" x14ac:dyDescent="0.25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</row>
    <row r="336" spans="1:26" ht="15.75" customHeight="1" x14ac:dyDescent="0.25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</row>
    <row r="337" spans="1:26" ht="15.75" customHeight="1" x14ac:dyDescent="0.25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</row>
    <row r="338" spans="1:26" ht="15.75" customHeight="1" x14ac:dyDescent="0.25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</row>
    <row r="339" spans="1:26" ht="15.75" customHeight="1" x14ac:dyDescent="0.25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</row>
    <row r="340" spans="1:26" ht="15.75" customHeight="1" x14ac:dyDescent="0.25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</row>
    <row r="341" spans="1:26" ht="15.75" customHeight="1" x14ac:dyDescent="0.25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</row>
    <row r="342" spans="1:26" ht="15.75" customHeight="1" x14ac:dyDescent="0.25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</row>
    <row r="343" spans="1:26" ht="15.75" customHeight="1" x14ac:dyDescent="0.25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</row>
    <row r="344" spans="1:26" ht="15.75" customHeight="1" x14ac:dyDescent="0.25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</row>
    <row r="345" spans="1:26" ht="15.75" customHeight="1" x14ac:dyDescent="0.25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</row>
    <row r="346" spans="1:26" ht="15.75" customHeight="1" x14ac:dyDescent="0.25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</row>
    <row r="347" spans="1:26" ht="15.75" customHeight="1" x14ac:dyDescent="0.25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</row>
    <row r="348" spans="1:26" ht="15.75" customHeight="1" x14ac:dyDescent="0.25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</row>
    <row r="349" spans="1:26" ht="15.75" customHeight="1" x14ac:dyDescent="0.25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</row>
    <row r="350" spans="1:26" ht="15.75" customHeight="1" x14ac:dyDescent="0.25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</row>
    <row r="351" spans="1:26" ht="15.75" customHeight="1" x14ac:dyDescent="0.25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</row>
    <row r="352" spans="1:26" ht="15.75" customHeight="1" x14ac:dyDescent="0.25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</row>
    <row r="353" spans="1:26" ht="15.75" customHeight="1" x14ac:dyDescent="0.25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</row>
    <row r="354" spans="1:26" ht="15.75" customHeight="1" x14ac:dyDescent="0.25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</row>
    <row r="355" spans="1:26" ht="15.75" customHeight="1" x14ac:dyDescent="0.25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</row>
    <row r="356" spans="1:26" ht="15.75" customHeight="1" x14ac:dyDescent="0.25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</row>
    <row r="357" spans="1:26" ht="15.75" customHeight="1" x14ac:dyDescent="0.25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</row>
    <row r="358" spans="1:26" ht="15.75" customHeight="1" x14ac:dyDescent="0.25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</row>
    <row r="359" spans="1:26" ht="15.75" customHeight="1" x14ac:dyDescent="0.25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</row>
    <row r="360" spans="1:26" ht="15.75" customHeight="1" x14ac:dyDescent="0.25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</row>
    <row r="361" spans="1:26" ht="15.75" customHeight="1" x14ac:dyDescent="0.25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</row>
    <row r="362" spans="1:26" ht="15.75" customHeight="1" x14ac:dyDescent="0.25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</row>
    <row r="363" spans="1:26" ht="15.75" customHeight="1" x14ac:dyDescent="0.25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</row>
    <row r="364" spans="1:26" ht="15.75" customHeight="1" x14ac:dyDescent="0.25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</row>
    <row r="365" spans="1:26" ht="15.75" customHeight="1" x14ac:dyDescent="0.25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</row>
    <row r="366" spans="1:26" ht="15.75" customHeight="1" x14ac:dyDescent="0.25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</row>
    <row r="367" spans="1:26" ht="15.75" customHeight="1" x14ac:dyDescent="0.25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</row>
    <row r="368" spans="1:26" ht="15.75" customHeight="1" x14ac:dyDescent="0.25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</row>
    <row r="369" spans="1:26" ht="15.75" customHeight="1" x14ac:dyDescent="0.25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</row>
    <row r="370" spans="1:26" ht="15.75" customHeight="1" x14ac:dyDescent="0.25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</row>
    <row r="371" spans="1:26" ht="15.75" customHeight="1" x14ac:dyDescent="0.25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</row>
    <row r="372" spans="1:26" ht="15.75" customHeight="1" x14ac:dyDescent="0.25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</row>
    <row r="373" spans="1:26" ht="15.75" customHeight="1" x14ac:dyDescent="0.25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</row>
    <row r="374" spans="1:26" ht="15.75" customHeight="1" x14ac:dyDescent="0.25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</row>
    <row r="375" spans="1:26" ht="15.75" customHeight="1" x14ac:dyDescent="0.25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</row>
    <row r="376" spans="1:26" ht="15.75" customHeight="1" x14ac:dyDescent="0.25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</row>
    <row r="377" spans="1:26" ht="15.75" customHeight="1" x14ac:dyDescent="0.25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</row>
    <row r="378" spans="1:26" ht="15.75" customHeight="1" x14ac:dyDescent="0.25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</row>
    <row r="379" spans="1:26" ht="15.75" customHeight="1" x14ac:dyDescent="0.25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</row>
    <row r="380" spans="1:26" ht="15.75" customHeight="1" x14ac:dyDescent="0.25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</row>
    <row r="381" spans="1:26" ht="15.75" customHeight="1" x14ac:dyDescent="0.25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</row>
    <row r="382" spans="1:26" ht="15.75" customHeight="1" x14ac:dyDescent="0.25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</row>
    <row r="383" spans="1:26" ht="15.75" customHeight="1" x14ac:dyDescent="0.25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</row>
    <row r="384" spans="1:26" ht="15.75" customHeight="1" x14ac:dyDescent="0.25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</row>
    <row r="385" spans="1:26" ht="15.75" customHeight="1" x14ac:dyDescent="0.25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</row>
    <row r="386" spans="1:26" ht="15.75" customHeight="1" x14ac:dyDescent="0.25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</row>
    <row r="387" spans="1:26" ht="15.75" customHeight="1" x14ac:dyDescent="0.25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</row>
    <row r="388" spans="1:26" ht="15.75" customHeight="1" x14ac:dyDescent="0.25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</row>
    <row r="389" spans="1:26" ht="15.75" customHeight="1" x14ac:dyDescent="0.25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</row>
    <row r="390" spans="1:26" ht="15.75" customHeight="1" x14ac:dyDescent="0.25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</row>
    <row r="391" spans="1:26" ht="15.75" customHeight="1" x14ac:dyDescent="0.25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</row>
    <row r="392" spans="1:26" ht="15.75" customHeight="1" x14ac:dyDescent="0.25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</row>
    <row r="393" spans="1:26" ht="15.75" customHeight="1" x14ac:dyDescent="0.25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</row>
    <row r="394" spans="1:26" ht="15.75" customHeight="1" x14ac:dyDescent="0.25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</row>
    <row r="395" spans="1:26" ht="15.75" customHeight="1" x14ac:dyDescent="0.25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</row>
    <row r="396" spans="1:26" ht="15.75" customHeight="1" x14ac:dyDescent="0.25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</row>
    <row r="397" spans="1:26" ht="15.75" customHeight="1" x14ac:dyDescent="0.25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</row>
    <row r="398" spans="1:26" ht="15.75" customHeight="1" x14ac:dyDescent="0.25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</row>
    <row r="399" spans="1:26" ht="15.75" customHeight="1" x14ac:dyDescent="0.25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</row>
    <row r="400" spans="1:26" ht="15.75" customHeight="1" x14ac:dyDescent="0.25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</row>
    <row r="401" spans="1:26" ht="15.75" customHeight="1" x14ac:dyDescent="0.25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</row>
    <row r="402" spans="1:26" ht="15.75" customHeight="1" x14ac:dyDescent="0.25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</row>
    <row r="403" spans="1:26" ht="15.75" customHeight="1" x14ac:dyDescent="0.25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</row>
    <row r="404" spans="1:26" ht="15.75" customHeight="1" x14ac:dyDescent="0.25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</row>
    <row r="405" spans="1:26" ht="15.75" customHeight="1" x14ac:dyDescent="0.25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</row>
    <row r="406" spans="1:26" ht="15.75" customHeight="1" x14ac:dyDescent="0.25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</row>
    <row r="407" spans="1:26" ht="15.75" customHeight="1" x14ac:dyDescent="0.25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</row>
    <row r="408" spans="1:26" ht="15.75" customHeight="1" x14ac:dyDescent="0.25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</row>
    <row r="409" spans="1:26" ht="15.75" customHeight="1" x14ac:dyDescent="0.25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</row>
    <row r="410" spans="1:26" ht="15.75" customHeight="1" x14ac:dyDescent="0.25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</row>
    <row r="411" spans="1:26" ht="15.75" customHeight="1" x14ac:dyDescent="0.25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</row>
    <row r="412" spans="1:26" ht="15.75" customHeight="1" x14ac:dyDescent="0.25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</row>
    <row r="413" spans="1:26" ht="15.75" customHeight="1" x14ac:dyDescent="0.25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</row>
    <row r="414" spans="1:26" ht="15.75" customHeight="1" x14ac:dyDescent="0.25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</row>
    <row r="415" spans="1:26" ht="15.75" customHeight="1" x14ac:dyDescent="0.25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</row>
    <row r="416" spans="1:26" ht="15.75" customHeight="1" x14ac:dyDescent="0.25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</row>
    <row r="417" spans="1:26" ht="15.75" customHeight="1" x14ac:dyDescent="0.25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</row>
    <row r="418" spans="1:26" ht="15.75" customHeight="1" x14ac:dyDescent="0.25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</row>
    <row r="419" spans="1:26" ht="15.75" customHeight="1" x14ac:dyDescent="0.25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</row>
    <row r="420" spans="1:26" ht="15.75" customHeight="1" x14ac:dyDescent="0.25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</row>
    <row r="421" spans="1:26" ht="15.75" customHeight="1" x14ac:dyDescent="0.25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</row>
    <row r="422" spans="1:26" ht="15.75" customHeight="1" x14ac:dyDescent="0.25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</row>
    <row r="423" spans="1:26" ht="15.75" customHeight="1" x14ac:dyDescent="0.25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</row>
    <row r="424" spans="1:26" ht="15.75" customHeight="1" x14ac:dyDescent="0.25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</row>
    <row r="425" spans="1:26" ht="15.75" customHeight="1" x14ac:dyDescent="0.25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</row>
    <row r="426" spans="1:26" ht="15.75" customHeight="1" x14ac:dyDescent="0.25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</row>
    <row r="427" spans="1:26" ht="15.75" customHeight="1" x14ac:dyDescent="0.25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</row>
    <row r="428" spans="1:26" ht="15.75" customHeight="1" x14ac:dyDescent="0.25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</row>
    <row r="429" spans="1:26" ht="15.75" customHeight="1" x14ac:dyDescent="0.25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</row>
    <row r="430" spans="1:26" ht="15.75" customHeight="1" x14ac:dyDescent="0.25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</row>
    <row r="431" spans="1:26" ht="15.75" customHeight="1" x14ac:dyDescent="0.25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</row>
    <row r="432" spans="1:26" ht="15.75" customHeight="1" x14ac:dyDescent="0.25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</row>
    <row r="433" spans="1:26" ht="15.75" customHeight="1" x14ac:dyDescent="0.25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</row>
    <row r="434" spans="1:26" ht="15.75" customHeight="1" x14ac:dyDescent="0.25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</row>
    <row r="435" spans="1:26" ht="15.75" customHeight="1" x14ac:dyDescent="0.25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</row>
    <row r="436" spans="1:26" ht="15.75" customHeight="1" x14ac:dyDescent="0.25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</row>
    <row r="437" spans="1:26" ht="15.75" customHeight="1" x14ac:dyDescent="0.25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</row>
    <row r="438" spans="1:26" ht="15.75" customHeight="1" x14ac:dyDescent="0.25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</row>
    <row r="439" spans="1:26" ht="15.75" customHeight="1" x14ac:dyDescent="0.25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</row>
    <row r="440" spans="1:26" ht="15.75" customHeight="1" x14ac:dyDescent="0.25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</row>
    <row r="441" spans="1:26" ht="15.75" customHeight="1" x14ac:dyDescent="0.25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</row>
    <row r="442" spans="1:26" ht="15.75" customHeight="1" x14ac:dyDescent="0.25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</row>
    <row r="443" spans="1:26" ht="15.75" customHeight="1" x14ac:dyDescent="0.25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</row>
    <row r="444" spans="1:26" ht="15.75" customHeight="1" x14ac:dyDescent="0.25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</row>
    <row r="445" spans="1:26" ht="15.75" customHeight="1" x14ac:dyDescent="0.25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</row>
    <row r="446" spans="1:26" ht="15.75" customHeight="1" x14ac:dyDescent="0.25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</row>
    <row r="447" spans="1:26" ht="15.75" customHeight="1" x14ac:dyDescent="0.25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</row>
    <row r="448" spans="1:26" ht="15.75" customHeight="1" x14ac:dyDescent="0.25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</row>
    <row r="449" spans="1:26" ht="15.75" customHeight="1" x14ac:dyDescent="0.25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</row>
    <row r="450" spans="1:26" ht="15.75" customHeight="1" x14ac:dyDescent="0.25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</row>
    <row r="451" spans="1:26" ht="15.75" customHeight="1" x14ac:dyDescent="0.25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</row>
    <row r="452" spans="1:26" ht="15.75" customHeight="1" x14ac:dyDescent="0.25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</row>
    <row r="453" spans="1:26" ht="15.75" customHeight="1" x14ac:dyDescent="0.25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</row>
    <row r="454" spans="1:26" ht="15.75" customHeight="1" x14ac:dyDescent="0.25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</row>
    <row r="455" spans="1:26" ht="15.75" customHeight="1" x14ac:dyDescent="0.25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</row>
    <row r="456" spans="1:26" ht="15.75" customHeight="1" x14ac:dyDescent="0.25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</row>
    <row r="457" spans="1:26" ht="15.75" customHeight="1" x14ac:dyDescent="0.25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</row>
    <row r="458" spans="1:26" ht="15.75" customHeight="1" x14ac:dyDescent="0.25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</row>
    <row r="459" spans="1:26" ht="15.75" customHeight="1" x14ac:dyDescent="0.25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</row>
    <row r="460" spans="1:26" ht="15.75" customHeight="1" x14ac:dyDescent="0.25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</row>
    <row r="461" spans="1:26" ht="15.75" customHeight="1" x14ac:dyDescent="0.25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</row>
    <row r="462" spans="1:26" ht="15.75" customHeight="1" x14ac:dyDescent="0.25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</row>
    <row r="463" spans="1:26" ht="15.75" customHeight="1" x14ac:dyDescent="0.25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</row>
    <row r="464" spans="1:26" ht="15.75" customHeight="1" x14ac:dyDescent="0.25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</row>
    <row r="465" spans="1:26" ht="15.75" customHeight="1" x14ac:dyDescent="0.25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</row>
    <row r="466" spans="1:26" ht="15.75" customHeight="1" x14ac:dyDescent="0.25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</row>
    <row r="467" spans="1:26" ht="15.75" customHeight="1" x14ac:dyDescent="0.25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</row>
    <row r="468" spans="1:26" ht="15.75" customHeight="1" x14ac:dyDescent="0.25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</row>
    <row r="469" spans="1:26" ht="15.75" customHeight="1" x14ac:dyDescent="0.25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</row>
    <row r="470" spans="1:26" ht="15.75" customHeight="1" x14ac:dyDescent="0.25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</row>
    <row r="471" spans="1:26" ht="15.75" customHeight="1" x14ac:dyDescent="0.25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</row>
    <row r="472" spans="1:26" ht="15.75" customHeight="1" x14ac:dyDescent="0.25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</row>
    <row r="473" spans="1:26" ht="15.75" customHeight="1" x14ac:dyDescent="0.25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</row>
    <row r="474" spans="1:26" ht="15.75" customHeight="1" x14ac:dyDescent="0.25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</row>
    <row r="475" spans="1:26" ht="15.75" customHeight="1" x14ac:dyDescent="0.25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</row>
    <row r="476" spans="1:26" ht="15.75" customHeight="1" x14ac:dyDescent="0.25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</row>
    <row r="477" spans="1:26" ht="15.75" customHeight="1" x14ac:dyDescent="0.25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</row>
    <row r="478" spans="1:26" ht="15.75" customHeight="1" x14ac:dyDescent="0.25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</row>
    <row r="479" spans="1:26" ht="15.75" customHeight="1" x14ac:dyDescent="0.25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</row>
    <row r="480" spans="1:26" ht="15.75" customHeight="1" x14ac:dyDescent="0.25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</row>
    <row r="481" spans="1:26" ht="15.75" customHeight="1" x14ac:dyDescent="0.25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</row>
    <row r="482" spans="1:26" ht="15.75" customHeight="1" x14ac:dyDescent="0.25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</row>
    <row r="483" spans="1:26" ht="15.75" customHeight="1" x14ac:dyDescent="0.25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</row>
    <row r="484" spans="1:26" ht="15.75" customHeight="1" x14ac:dyDescent="0.25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</row>
    <row r="485" spans="1:26" ht="15.75" customHeight="1" x14ac:dyDescent="0.25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</row>
    <row r="486" spans="1:26" ht="15.75" customHeight="1" x14ac:dyDescent="0.25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</row>
    <row r="487" spans="1:26" ht="15.75" customHeight="1" x14ac:dyDescent="0.25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</row>
    <row r="488" spans="1:26" ht="15.75" customHeight="1" x14ac:dyDescent="0.25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</row>
    <row r="489" spans="1:26" ht="15.75" customHeight="1" x14ac:dyDescent="0.25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</row>
    <row r="490" spans="1:26" ht="15.75" customHeight="1" x14ac:dyDescent="0.25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</row>
    <row r="491" spans="1:26" ht="15.75" customHeight="1" x14ac:dyDescent="0.25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</row>
    <row r="492" spans="1:26" ht="15.75" customHeight="1" x14ac:dyDescent="0.25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</row>
    <row r="493" spans="1:26" ht="15.75" customHeight="1" x14ac:dyDescent="0.25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</row>
    <row r="494" spans="1:26" ht="15.75" customHeight="1" x14ac:dyDescent="0.25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</row>
    <row r="495" spans="1:26" ht="15.75" customHeight="1" x14ac:dyDescent="0.25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</row>
    <row r="496" spans="1:26" ht="15.75" customHeight="1" x14ac:dyDescent="0.25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</row>
    <row r="497" spans="1:26" ht="15.75" customHeight="1" x14ac:dyDescent="0.25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</row>
    <row r="498" spans="1:26" ht="15.75" customHeight="1" x14ac:dyDescent="0.25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</row>
    <row r="499" spans="1:26" ht="15.75" customHeight="1" x14ac:dyDescent="0.25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</row>
    <row r="500" spans="1:26" ht="15.75" customHeight="1" x14ac:dyDescent="0.25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</row>
    <row r="501" spans="1:26" ht="15.75" customHeight="1" x14ac:dyDescent="0.25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</row>
    <row r="502" spans="1:26" ht="15.75" customHeight="1" x14ac:dyDescent="0.25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</row>
    <row r="503" spans="1:26" ht="15.75" customHeight="1" x14ac:dyDescent="0.25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</row>
    <row r="504" spans="1:26" ht="15.75" customHeight="1" x14ac:dyDescent="0.25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</row>
    <row r="505" spans="1:26" ht="15.75" customHeight="1" x14ac:dyDescent="0.25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</row>
    <row r="506" spans="1:26" ht="15.75" customHeight="1" x14ac:dyDescent="0.25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</row>
    <row r="507" spans="1:26" ht="15.75" customHeight="1" x14ac:dyDescent="0.25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</row>
    <row r="508" spans="1:26" ht="15.75" customHeight="1" x14ac:dyDescent="0.25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</row>
    <row r="509" spans="1:26" ht="15.75" customHeight="1" x14ac:dyDescent="0.25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</row>
    <row r="510" spans="1:26" ht="15.75" customHeight="1" x14ac:dyDescent="0.25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</row>
    <row r="511" spans="1:26" ht="15.75" customHeight="1" x14ac:dyDescent="0.25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</row>
    <row r="512" spans="1:26" ht="15.75" customHeight="1" x14ac:dyDescent="0.25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</row>
    <row r="513" spans="1:26" ht="15.75" customHeight="1" x14ac:dyDescent="0.25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</row>
    <row r="514" spans="1:26" ht="15.75" customHeight="1" x14ac:dyDescent="0.25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</row>
    <row r="515" spans="1:26" ht="15.75" customHeight="1" x14ac:dyDescent="0.25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</row>
    <row r="516" spans="1:26" ht="15.75" customHeight="1" x14ac:dyDescent="0.25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</row>
    <row r="517" spans="1:26" ht="15.75" customHeight="1" x14ac:dyDescent="0.25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</row>
    <row r="518" spans="1:26" ht="15.75" customHeight="1" x14ac:dyDescent="0.25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</row>
    <row r="519" spans="1:26" ht="15.75" customHeight="1" x14ac:dyDescent="0.25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</row>
    <row r="520" spans="1:26" ht="15.75" customHeight="1" x14ac:dyDescent="0.25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</row>
    <row r="521" spans="1:26" ht="15.75" customHeight="1" x14ac:dyDescent="0.25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</row>
    <row r="522" spans="1:26" ht="15.75" customHeight="1" x14ac:dyDescent="0.25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</row>
    <row r="523" spans="1:26" ht="15.75" customHeight="1" x14ac:dyDescent="0.25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</row>
    <row r="524" spans="1:26" ht="15.75" customHeight="1" x14ac:dyDescent="0.25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</row>
    <row r="525" spans="1:26" ht="15.75" customHeight="1" x14ac:dyDescent="0.25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</row>
    <row r="526" spans="1:26" ht="15.75" customHeight="1" x14ac:dyDescent="0.25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</row>
    <row r="527" spans="1:26" ht="15.75" customHeight="1" x14ac:dyDescent="0.25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</row>
    <row r="528" spans="1:26" ht="15.75" customHeight="1" x14ac:dyDescent="0.25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</row>
    <row r="529" spans="1:26" ht="15.75" customHeight="1" x14ac:dyDescent="0.25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</row>
    <row r="530" spans="1:26" ht="15.75" customHeight="1" x14ac:dyDescent="0.25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</row>
    <row r="531" spans="1:26" ht="15.75" customHeight="1" x14ac:dyDescent="0.25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</row>
    <row r="532" spans="1:26" ht="15.75" customHeight="1" x14ac:dyDescent="0.25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</row>
    <row r="533" spans="1:26" ht="15.75" customHeight="1" x14ac:dyDescent="0.25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</row>
    <row r="534" spans="1:26" ht="15.75" customHeight="1" x14ac:dyDescent="0.25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</row>
    <row r="535" spans="1:26" ht="15.75" customHeight="1" x14ac:dyDescent="0.25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</row>
    <row r="536" spans="1:26" ht="15.75" customHeight="1" x14ac:dyDescent="0.25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</row>
    <row r="537" spans="1:26" ht="15.75" customHeight="1" x14ac:dyDescent="0.25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</row>
    <row r="538" spans="1:26" ht="15.75" customHeight="1" x14ac:dyDescent="0.25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</row>
    <row r="539" spans="1:26" ht="15.75" customHeight="1" x14ac:dyDescent="0.25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</row>
    <row r="540" spans="1:26" ht="15.75" customHeight="1" x14ac:dyDescent="0.25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</row>
    <row r="541" spans="1:26" ht="15.75" customHeight="1" x14ac:dyDescent="0.25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</row>
    <row r="542" spans="1:26" ht="15.75" customHeight="1" x14ac:dyDescent="0.25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</row>
    <row r="543" spans="1:26" ht="15.75" customHeight="1" x14ac:dyDescent="0.25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</row>
    <row r="544" spans="1:26" ht="15.75" customHeight="1" x14ac:dyDescent="0.25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</row>
    <row r="545" spans="1:26" ht="15.75" customHeight="1" x14ac:dyDescent="0.25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</row>
    <row r="546" spans="1:26" ht="15.75" customHeight="1" x14ac:dyDescent="0.25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</row>
    <row r="547" spans="1:26" ht="15.75" customHeight="1" x14ac:dyDescent="0.25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</row>
    <row r="548" spans="1:26" ht="15.75" customHeight="1" x14ac:dyDescent="0.25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</row>
    <row r="549" spans="1:26" ht="15.75" customHeight="1" x14ac:dyDescent="0.25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</row>
    <row r="550" spans="1:26" ht="15.75" customHeight="1" x14ac:dyDescent="0.25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</row>
    <row r="551" spans="1:26" ht="15.75" customHeight="1" x14ac:dyDescent="0.25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</row>
    <row r="552" spans="1:26" ht="15.75" customHeight="1" x14ac:dyDescent="0.25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</row>
    <row r="553" spans="1:26" ht="15.75" customHeight="1" x14ac:dyDescent="0.25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</row>
    <row r="554" spans="1:26" ht="15.75" customHeight="1" x14ac:dyDescent="0.25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</row>
    <row r="555" spans="1:26" ht="15.75" customHeight="1" x14ac:dyDescent="0.25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</row>
    <row r="556" spans="1:26" ht="15.75" customHeight="1" x14ac:dyDescent="0.25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</row>
    <row r="557" spans="1:26" ht="15.75" customHeight="1" x14ac:dyDescent="0.25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</row>
    <row r="558" spans="1:26" ht="15.75" customHeight="1" x14ac:dyDescent="0.25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</row>
    <row r="559" spans="1:26" ht="15.75" customHeight="1" x14ac:dyDescent="0.25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</row>
    <row r="560" spans="1:26" ht="15.75" customHeight="1" x14ac:dyDescent="0.25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</row>
    <row r="561" spans="1:26" ht="15.75" customHeight="1" x14ac:dyDescent="0.25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</row>
    <row r="562" spans="1:26" ht="15.75" customHeight="1" x14ac:dyDescent="0.25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</row>
    <row r="563" spans="1:26" ht="15.75" customHeight="1" x14ac:dyDescent="0.25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</row>
    <row r="564" spans="1:26" ht="15.75" customHeight="1" x14ac:dyDescent="0.25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</row>
    <row r="565" spans="1:26" ht="15.75" customHeight="1" x14ac:dyDescent="0.25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</row>
    <row r="566" spans="1:26" ht="15.75" customHeight="1" x14ac:dyDescent="0.25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</row>
    <row r="567" spans="1:26" ht="15.75" customHeight="1" x14ac:dyDescent="0.25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</row>
    <row r="568" spans="1:26" ht="15.75" customHeight="1" x14ac:dyDescent="0.25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</row>
    <row r="569" spans="1:26" ht="15.75" customHeight="1" x14ac:dyDescent="0.25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</row>
    <row r="570" spans="1:26" ht="15.75" customHeight="1" x14ac:dyDescent="0.25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</row>
    <row r="571" spans="1:26" ht="15.75" customHeight="1" x14ac:dyDescent="0.25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</row>
    <row r="572" spans="1:26" ht="15.75" customHeight="1" x14ac:dyDescent="0.25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</row>
    <row r="573" spans="1:26" ht="15.75" customHeight="1" x14ac:dyDescent="0.25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</row>
    <row r="574" spans="1:26" ht="15.75" customHeight="1" x14ac:dyDescent="0.25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</row>
    <row r="575" spans="1:26" ht="15.75" customHeight="1" x14ac:dyDescent="0.25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</row>
    <row r="576" spans="1:26" ht="15.75" customHeight="1" x14ac:dyDescent="0.25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</row>
    <row r="577" spans="1:26" ht="15.75" customHeight="1" x14ac:dyDescent="0.25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</row>
    <row r="578" spans="1:26" ht="15.75" customHeight="1" x14ac:dyDescent="0.25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</row>
    <row r="579" spans="1:26" ht="15.75" customHeight="1" x14ac:dyDescent="0.25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</row>
    <row r="580" spans="1:26" ht="15.75" customHeight="1" x14ac:dyDescent="0.25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</row>
    <row r="581" spans="1:26" ht="15.75" customHeight="1" x14ac:dyDescent="0.25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</row>
    <row r="582" spans="1:26" ht="15.75" customHeight="1" x14ac:dyDescent="0.25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</row>
    <row r="583" spans="1:26" ht="15.75" customHeight="1" x14ac:dyDescent="0.25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</row>
    <row r="584" spans="1:26" ht="15.75" customHeight="1" x14ac:dyDescent="0.25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</row>
    <row r="585" spans="1:26" ht="15.75" customHeight="1" x14ac:dyDescent="0.25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</row>
    <row r="586" spans="1:26" ht="15.75" customHeight="1" x14ac:dyDescent="0.25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</row>
    <row r="587" spans="1:26" ht="15.75" customHeight="1" x14ac:dyDescent="0.25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</row>
    <row r="588" spans="1:26" ht="15.75" customHeight="1" x14ac:dyDescent="0.25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</row>
    <row r="589" spans="1:26" ht="15.75" customHeight="1" x14ac:dyDescent="0.25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</row>
    <row r="590" spans="1:26" ht="15.75" customHeight="1" x14ac:dyDescent="0.25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</row>
    <row r="591" spans="1:26" ht="15.75" customHeight="1" x14ac:dyDescent="0.25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</row>
    <row r="592" spans="1:26" ht="15.75" customHeight="1" x14ac:dyDescent="0.25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</row>
    <row r="593" spans="1:26" ht="15.75" customHeight="1" x14ac:dyDescent="0.25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</row>
    <row r="594" spans="1:26" ht="15.75" customHeight="1" x14ac:dyDescent="0.25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</row>
    <row r="595" spans="1:26" ht="15.75" customHeight="1" x14ac:dyDescent="0.25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</row>
    <row r="596" spans="1:26" ht="15.75" customHeight="1" x14ac:dyDescent="0.25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</row>
    <row r="597" spans="1:26" ht="15.75" customHeight="1" x14ac:dyDescent="0.25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</row>
    <row r="598" spans="1:26" ht="15.75" customHeight="1" x14ac:dyDescent="0.25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</row>
    <row r="599" spans="1:26" ht="15.75" customHeight="1" x14ac:dyDescent="0.25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</row>
    <row r="600" spans="1:26" ht="15.75" customHeight="1" x14ac:dyDescent="0.25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</row>
    <row r="601" spans="1:26" ht="15.75" customHeight="1" x14ac:dyDescent="0.25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</row>
    <row r="602" spans="1:26" ht="15.75" customHeight="1" x14ac:dyDescent="0.25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</row>
    <row r="603" spans="1:26" ht="15.75" customHeight="1" x14ac:dyDescent="0.25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</row>
    <row r="604" spans="1:26" ht="15.75" customHeight="1" x14ac:dyDescent="0.25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</row>
    <row r="605" spans="1:26" ht="15.75" customHeight="1" x14ac:dyDescent="0.25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</row>
    <row r="606" spans="1:26" ht="15.75" customHeight="1" x14ac:dyDescent="0.25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</row>
    <row r="607" spans="1:26" ht="15.75" customHeight="1" x14ac:dyDescent="0.25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</row>
    <row r="608" spans="1:26" ht="15.75" customHeight="1" x14ac:dyDescent="0.25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</row>
    <row r="609" spans="1:26" ht="15.75" customHeight="1" x14ac:dyDescent="0.25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</row>
    <row r="610" spans="1:26" ht="15.75" customHeight="1" x14ac:dyDescent="0.25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</row>
    <row r="611" spans="1:26" ht="15.75" customHeight="1" x14ac:dyDescent="0.25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</row>
    <row r="612" spans="1:26" ht="15.75" customHeight="1" x14ac:dyDescent="0.25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</row>
    <row r="613" spans="1:26" ht="15.75" customHeight="1" x14ac:dyDescent="0.25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</row>
    <row r="614" spans="1:26" ht="15.75" customHeight="1" x14ac:dyDescent="0.25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</row>
    <row r="615" spans="1:26" ht="15.75" customHeight="1" x14ac:dyDescent="0.25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</row>
    <row r="616" spans="1:26" ht="15.75" customHeight="1" x14ac:dyDescent="0.25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</row>
    <row r="617" spans="1:26" ht="15.75" customHeight="1" x14ac:dyDescent="0.25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</row>
    <row r="618" spans="1:26" ht="15.75" customHeight="1" x14ac:dyDescent="0.25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</row>
    <row r="619" spans="1:26" ht="15.75" customHeight="1" x14ac:dyDescent="0.25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</row>
    <row r="620" spans="1:26" ht="15.75" customHeight="1" x14ac:dyDescent="0.25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</row>
    <row r="621" spans="1:26" ht="15.75" customHeight="1" x14ac:dyDescent="0.25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</row>
    <row r="622" spans="1:26" ht="15.75" customHeight="1" x14ac:dyDescent="0.25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</row>
    <row r="623" spans="1:26" ht="15.75" customHeight="1" x14ac:dyDescent="0.25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</row>
    <row r="624" spans="1:26" ht="15.75" customHeight="1" x14ac:dyDescent="0.25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</row>
    <row r="625" spans="1:26" ht="15.75" customHeight="1" x14ac:dyDescent="0.25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</row>
    <row r="626" spans="1:26" ht="15.75" customHeight="1" x14ac:dyDescent="0.25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</row>
    <row r="627" spans="1:26" ht="15.75" customHeight="1" x14ac:dyDescent="0.25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</row>
    <row r="628" spans="1:26" ht="15.75" customHeight="1" x14ac:dyDescent="0.25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</row>
    <row r="629" spans="1:26" ht="15.75" customHeight="1" x14ac:dyDescent="0.25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</row>
    <row r="630" spans="1:26" ht="15.75" customHeight="1" x14ac:dyDescent="0.25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</row>
    <row r="631" spans="1:26" ht="15.75" customHeight="1" x14ac:dyDescent="0.25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</row>
    <row r="632" spans="1:26" ht="15.75" customHeight="1" x14ac:dyDescent="0.25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</row>
    <row r="633" spans="1:26" ht="15.75" customHeight="1" x14ac:dyDescent="0.25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</row>
    <row r="634" spans="1:26" ht="15.75" customHeight="1" x14ac:dyDescent="0.25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</row>
    <row r="635" spans="1:26" ht="15.75" customHeight="1" x14ac:dyDescent="0.25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</row>
    <row r="636" spans="1:26" ht="15.75" customHeight="1" x14ac:dyDescent="0.25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</row>
    <row r="637" spans="1:26" ht="15.75" customHeight="1" x14ac:dyDescent="0.25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</row>
    <row r="638" spans="1:26" ht="15.75" customHeight="1" x14ac:dyDescent="0.25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</row>
    <row r="639" spans="1:26" ht="15.75" customHeight="1" x14ac:dyDescent="0.25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</row>
    <row r="640" spans="1:26" ht="15.75" customHeight="1" x14ac:dyDescent="0.25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</row>
    <row r="641" spans="1:26" ht="15.75" customHeight="1" x14ac:dyDescent="0.25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</row>
    <row r="642" spans="1:26" ht="15.75" customHeight="1" x14ac:dyDescent="0.25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</row>
    <row r="643" spans="1:26" ht="15.75" customHeight="1" x14ac:dyDescent="0.25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</row>
    <row r="644" spans="1:26" ht="15.75" customHeight="1" x14ac:dyDescent="0.25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</row>
    <row r="645" spans="1:26" ht="15.75" customHeight="1" x14ac:dyDescent="0.25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</row>
    <row r="646" spans="1:26" ht="15.75" customHeight="1" x14ac:dyDescent="0.25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</row>
    <row r="647" spans="1:26" ht="15.75" customHeight="1" x14ac:dyDescent="0.25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</row>
    <row r="648" spans="1:26" ht="15.75" customHeight="1" x14ac:dyDescent="0.25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</row>
    <row r="649" spans="1:26" ht="15.75" customHeight="1" x14ac:dyDescent="0.25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</row>
    <row r="650" spans="1:26" ht="15.75" customHeight="1" x14ac:dyDescent="0.25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</row>
    <row r="651" spans="1:26" ht="15.75" customHeight="1" x14ac:dyDescent="0.25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</row>
    <row r="652" spans="1:26" ht="15.75" customHeight="1" x14ac:dyDescent="0.25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</row>
    <row r="653" spans="1:26" ht="15.75" customHeight="1" x14ac:dyDescent="0.25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</row>
    <row r="654" spans="1:26" ht="15.75" customHeight="1" x14ac:dyDescent="0.25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</row>
    <row r="655" spans="1:26" ht="15.75" customHeight="1" x14ac:dyDescent="0.25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</row>
    <row r="656" spans="1:26" ht="15.75" customHeight="1" x14ac:dyDescent="0.25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</row>
    <row r="657" spans="1:26" ht="15.75" customHeight="1" x14ac:dyDescent="0.25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</row>
    <row r="658" spans="1:26" ht="15.75" customHeight="1" x14ac:dyDescent="0.25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</row>
    <row r="659" spans="1:26" ht="15.75" customHeight="1" x14ac:dyDescent="0.25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</row>
    <row r="660" spans="1:26" ht="15.75" customHeight="1" x14ac:dyDescent="0.25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</row>
    <row r="661" spans="1:26" ht="15.75" customHeight="1" x14ac:dyDescent="0.25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</row>
    <row r="662" spans="1:26" ht="15.75" customHeight="1" x14ac:dyDescent="0.25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</row>
    <row r="663" spans="1:26" ht="15.75" customHeight="1" x14ac:dyDescent="0.25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</row>
    <row r="664" spans="1:26" ht="15.75" customHeight="1" x14ac:dyDescent="0.25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</row>
    <row r="665" spans="1:26" ht="15.75" customHeight="1" x14ac:dyDescent="0.25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</row>
    <row r="666" spans="1:26" ht="15.75" customHeight="1" x14ac:dyDescent="0.25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</row>
    <row r="667" spans="1:26" ht="15.75" customHeight="1" x14ac:dyDescent="0.25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</row>
    <row r="668" spans="1:26" ht="15.75" customHeight="1" x14ac:dyDescent="0.25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</row>
    <row r="669" spans="1:26" ht="15.75" customHeight="1" x14ac:dyDescent="0.25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</row>
    <row r="670" spans="1:26" ht="15.75" customHeight="1" x14ac:dyDescent="0.25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</row>
    <row r="671" spans="1:26" ht="15.75" customHeight="1" x14ac:dyDescent="0.25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</row>
    <row r="672" spans="1:26" ht="15.75" customHeight="1" x14ac:dyDescent="0.25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</row>
    <row r="673" spans="1:26" ht="15.75" customHeight="1" x14ac:dyDescent="0.25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</row>
    <row r="674" spans="1:26" ht="15.75" customHeight="1" x14ac:dyDescent="0.25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</row>
    <row r="675" spans="1:26" ht="15.75" customHeight="1" x14ac:dyDescent="0.25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</row>
    <row r="676" spans="1:26" ht="15.75" customHeight="1" x14ac:dyDescent="0.25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</row>
    <row r="677" spans="1:26" ht="15.75" customHeight="1" x14ac:dyDescent="0.25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</row>
    <row r="678" spans="1:26" ht="15.75" customHeight="1" x14ac:dyDescent="0.25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</row>
    <row r="679" spans="1:26" ht="15.75" customHeight="1" x14ac:dyDescent="0.25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</row>
    <row r="680" spans="1:26" ht="15.75" customHeight="1" x14ac:dyDescent="0.25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</row>
    <row r="681" spans="1:26" ht="15.75" customHeight="1" x14ac:dyDescent="0.25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</row>
    <row r="682" spans="1:26" ht="15.75" customHeight="1" x14ac:dyDescent="0.25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</row>
    <row r="683" spans="1:26" ht="15.75" customHeight="1" x14ac:dyDescent="0.25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</row>
    <row r="684" spans="1:26" ht="15.75" customHeight="1" x14ac:dyDescent="0.25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</row>
    <row r="685" spans="1:26" ht="15.75" customHeight="1" x14ac:dyDescent="0.25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</row>
    <row r="686" spans="1:26" ht="15.75" customHeight="1" x14ac:dyDescent="0.25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</row>
    <row r="687" spans="1:26" ht="15.75" customHeight="1" x14ac:dyDescent="0.25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</row>
    <row r="688" spans="1:26" ht="15.75" customHeight="1" x14ac:dyDescent="0.25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</row>
    <row r="689" spans="1:26" ht="15.75" customHeight="1" x14ac:dyDescent="0.25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</row>
    <row r="690" spans="1:26" ht="15.75" customHeight="1" x14ac:dyDescent="0.25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</row>
    <row r="691" spans="1:26" ht="15.75" customHeight="1" x14ac:dyDescent="0.25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</row>
    <row r="692" spans="1:26" ht="15.75" customHeight="1" x14ac:dyDescent="0.25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</row>
    <row r="693" spans="1:26" ht="15.75" customHeight="1" x14ac:dyDescent="0.25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</row>
    <row r="694" spans="1:26" ht="15.75" customHeight="1" x14ac:dyDescent="0.25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</row>
    <row r="695" spans="1:26" ht="15.75" customHeight="1" x14ac:dyDescent="0.25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</row>
    <row r="696" spans="1:26" ht="15.75" customHeight="1" x14ac:dyDescent="0.25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</row>
    <row r="697" spans="1:26" ht="15.75" customHeight="1" x14ac:dyDescent="0.25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</row>
    <row r="698" spans="1:26" ht="15.75" customHeight="1" x14ac:dyDescent="0.25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</row>
    <row r="699" spans="1:26" ht="15.75" customHeight="1" x14ac:dyDescent="0.25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</row>
    <row r="700" spans="1:26" ht="15.75" customHeight="1" x14ac:dyDescent="0.25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</row>
    <row r="701" spans="1:26" ht="15.75" customHeight="1" x14ac:dyDescent="0.25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</row>
    <row r="702" spans="1:26" ht="15.75" customHeight="1" x14ac:dyDescent="0.25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</row>
    <row r="703" spans="1:26" ht="15.75" customHeight="1" x14ac:dyDescent="0.25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</row>
    <row r="704" spans="1:26" ht="15.75" customHeight="1" x14ac:dyDescent="0.25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</row>
    <row r="705" spans="1:26" ht="15.75" customHeight="1" x14ac:dyDescent="0.25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</row>
    <row r="706" spans="1:26" ht="15.75" customHeight="1" x14ac:dyDescent="0.25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</row>
    <row r="707" spans="1:26" ht="15.75" customHeight="1" x14ac:dyDescent="0.25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</row>
    <row r="708" spans="1:26" ht="15.75" customHeight="1" x14ac:dyDescent="0.25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</row>
    <row r="709" spans="1:26" ht="15.75" customHeight="1" x14ac:dyDescent="0.25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</row>
    <row r="710" spans="1:26" ht="15.75" customHeight="1" x14ac:dyDescent="0.25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</row>
    <row r="711" spans="1:26" ht="15.75" customHeight="1" x14ac:dyDescent="0.25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</row>
    <row r="712" spans="1:26" ht="15.75" customHeight="1" x14ac:dyDescent="0.25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</row>
    <row r="713" spans="1:26" ht="15.75" customHeight="1" x14ac:dyDescent="0.25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</row>
    <row r="714" spans="1:26" ht="15.75" customHeight="1" x14ac:dyDescent="0.25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</row>
    <row r="715" spans="1:26" ht="15.75" customHeight="1" x14ac:dyDescent="0.25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</row>
    <row r="716" spans="1:26" ht="15.75" customHeight="1" x14ac:dyDescent="0.25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</row>
    <row r="717" spans="1:26" ht="15.75" customHeight="1" x14ac:dyDescent="0.25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</row>
    <row r="718" spans="1:26" ht="15.75" customHeight="1" x14ac:dyDescent="0.25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</row>
    <row r="719" spans="1:26" ht="15.75" customHeight="1" x14ac:dyDescent="0.25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</row>
    <row r="720" spans="1:26" ht="15.75" customHeight="1" x14ac:dyDescent="0.25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</row>
    <row r="721" spans="1:26" ht="15.75" customHeight="1" x14ac:dyDescent="0.25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</row>
    <row r="722" spans="1:26" ht="15.75" customHeight="1" x14ac:dyDescent="0.25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</row>
    <row r="723" spans="1:26" ht="15.75" customHeight="1" x14ac:dyDescent="0.25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</row>
    <row r="724" spans="1:26" ht="15.75" customHeight="1" x14ac:dyDescent="0.25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</row>
    <row r="725" spans="1:26" ht="15.75" customHeight="1" x14ac:dyDescent="0.25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</row>
    <row r="726" spans="1:26" ht="15.75" customHeight="1" x14ac:dyDescent="0.25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</row>
    <row r="727" spans="1:26" ht="15.75" customHeight="1" x14ac:dyDescent="0.25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</row>
    <row r="728" spans="1:26" ht="15.75" customHeight="1" x14ac:dyDescent="0.25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</row>
    <row r="729" spans="1:26" ht="15.75" customHeight="1" x14ac:dyDescent="0.25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</row>
    <row r="730" spans="1:26" ht="15.75" customHeight="1" x14ac:dyDescent="0.25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</row>
    <row r="731" spans="1:26" ht="15.75" customHeight="1" x14ac:dyDescent="0.25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</row>
    <row r="732" spans="1:26" ht="15.75" customHeight="1" x14ac:dyDescent="0.25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</row>
    <row r="733" spans="1:26" ht="15.75" customHeight="1" x14ac:dyDescent="0.25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</row>
    <row r="734" spans="1:26" ht="15.75" customHeight="1" x14ac:dyDescent="0.25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</row>
    <row r="735" spans="1:26" ht="15.75" customHeight="1" x14ac:dyDescent="0.25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</row>
    <row r="736" spans="1:26" ht="15.75" customHeight="1" x14ac:dyDescent="0.25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</row>
    <row r="737" spans="1:26" ht="15.75" customHeight="1" x14ac:dyDescent="0.25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</row>
    <row r="738" spans="1:26" ht="15.75" customHeight="1" x14ac:dyDescent="0.25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</row>
    <row r="739" spans="1:26" ht="15.75" customHeight="1" x14ac:dyDescent="0.25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</row>
    <row r="740" spans="1:26" ht="15.75" customHeight="1" x14ac:dyDescent="0.25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</row>
    <row r="741" spans="1:26" ht="15.75" customHeight="1" x14ac:dyDescent="0.25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</row>
    <row r="742" spans="1:26" ht="15.75" customHeight="1" x14ac:dyDescent="0.25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</row>
    <row r="743" spans="1:26" ht="15.75" customHeight="1" x14ac:dyDescent="0.25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</row>
    <row r="744" spans="1:26" ht="15.75" customHeight="1" x14ac:dyDescent="0.25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</row>
    <row r="745" spans="1:26" ht="15.75" customHeight="1" x14ac:dyDescent="0.25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</row>
    <row r="746" spans="1:26" ht="15.75" customHeight="1" x14ac:dyDescent="0.25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</row>
    <row r="747" spans="1:26" ht="15.75" customHeight="1" x14ac:dyDescent="0.25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</row>
    <row r="748" spans="1:26" ht="15.75" customHeight="1" x14ac:dyDescent="0.25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</row>
    <row r="749" spans="1:26" ht="15.75" customHeight="1" x14ac:dyDescent="0.25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</row>
    <row r="750" spans="1:26" ht="15.75" customHeight="1" x14ac:dyDescent="0.25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</row>
    <row r="751" spans="1:26" ht="15.75" customHeight="1" x14ac:dyDescent="0.25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</row>
    <row r="752" spans="1:26" ht="15.75" customHeight="1" x14ac:dyDescent="0.25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</row>
    <row r="753" spans="1:26" ht="15.75" customHeight="1" x14ac:dyDescent="0.25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</row>
    <row r="754" spans="1:26" ht="15.75" customHeight="1" x14ac:dyDescent="0.25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</row>
    <row r="755" spans="1:26" ht="15.75" customHeight="1" x14ac:dyDescent="0.25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</row>
    <row r="756" spans="1:26" ht="15.75" customHeight="1" x14ac:dyDescent="0.25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</row>
    <row r="757" spans="1:26" ht="15.75" customHeight="1" x14ac:dyDescent="0.25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</row>
    <row r="758" spans="1:26" ht="15.75" customHeight="1" x14ac:dyDescent="0.25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</row>
    <row r="759" spans="1:26" ht="15.75" customHeight="1" x14ac:dyDescent="0.25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</row>
    <row r="760" spans="1:26" ht="15.75" customHeight="1" x14ac:dyDescent="0.25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</row>
    <row r="761" spans="1:26" ht="15.75" customHeight="1" x14ac:dyDescent="0.25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</row>
    <row r="762" spans="1:26" ht="15.75" customHeight="1" x14ac:dyDescent="0.25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</row>
    <row r="763" spans="1:26" ht="15.75" customHeight="1" x14ac:dyDescent="0.25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</row>
    <row r="764" spans="1:26" ht="15.75" customHeight="1" x14ac:dyDescent="0.25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</row>
    <row r="765" spans="1:26" ht="15.75" customHeight="1" x14ac:dyDescent="0.25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</row>
    <row r="766" spans="1:26" ht="15.75" customHeight="1" x14ac:dyDescent="0.25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</row>
    <row r="767" spans="1:26" ht="15.75" customHeight="1" x14ac:dyDescent="0.25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</row>
    <row r="768" spans="1:26" ht="15.75" customHeight="1" x14ac:dyDescent="0.25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</row>
    <row r="769" spans="1:26" ht="15.75" customHeight="1" x14ac:dyDescent="0.25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</row>
    <row r="770" spans="1:26" ht="15.75" customHeight="1" x14ac:dyDescent="0.25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</row>
    <row r="771" spans="1:26" ht="15.75" customHeight="1" x14ac:dyDescent="0.25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</row>
    <row r="772" spans="1:26" ht="15.75" customHeight="1" x14ac:dyDescent="0.25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</row>
    <row r="773" spans="1:26" ht="15.75" customHeight="1" x14ac:dyDescent="0.25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</row>
    <row r="774" spans="1:26" ht="15.75" customHeight="1" x14ac:dyDescent="0.25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</row>
    <row r="775" spans="1:26" ht="15.75" customHeight="1" x14ac:dyDescent="0.25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</row>
    <row r="776" spans="1:26" ht="15.75" customHeight="1" x14ac:dyDescent="0.25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</row>
    <row r="777" spans="1:26" ht="15.75" customHeight="1" x14ac:dyDescent="0.25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</row>
    <row r="778" spans="1:26" ht="15.75" customHeight="1" x14ac:dyDescent="0.25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</row>
    <row r="779" spans="1:26" ht="15.75" customHeight="1" x14ac:dyDescent="0.25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</row>
    <row r="780" spans="1:26" ht="15.75" customHeight="1" x14ac:dyDescent="0.25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</row>
    <row r="781" spans="1:26" ht="15.75" customHeight="1" x14ac:dyDescent="0.25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</row>
    <row r="782" spans="1:26" ht="15.75" customHeight="1" x14ac:dyDescent="0.25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</row>
    <row r="783" spans="1:26" ht="15.75" customHeight="1" x14ac:dyDescent="0.25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</row>
    <row r="784" spans="1:26" ht="15.75" customHeight="1" x14ac:dyDescent="0.25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</row>
    <row r="785" spans="1:26" ht="15.75" customHeight="1" x14ac:dyDescent="0.25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</row>
    <row r="786" spans="1:26" ht="15.75" customHeight="1" x14ac:dyDescent="0.25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</row>
    <row r="787" spans="1:26" ht="15.75" customHeight="1" x14ac:dyDescent="0.25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</row>
    <row r="788" spans="1:26" ht="15.75" customHeight="1" x14ac:dyDescent="0.25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</row>
    <row r="789" spans="1:26" ht="15.75" customHeight="1" x14ac:dyDescent="0.25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</row>
    <row r="790" spans="1:26" ht="15.75" customHeight="1" x14ac:dyDescent="0.25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</row>
    <row r="791" spans="1:26" ht="15.75" customHeight="1" x14ac:dyDescent="0.25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</row>
    <row r="792" spans="1:26" ht="15.75" customHeight="1" x14ac:dyDescent="0.25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</row>
    <row r="793" spans="1:26" ht="15.75" customHeight="1" x14ac:dyDescent="0.25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</row>
    <row r="794" spans="1:26" ht="15.75" customHeight="1" x14ac:dyDescent="0.25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</row>
    <row r="795" spans="1:26" ht="15.75" customHeight="1" x14ac:dyDescent="0.25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</row>
    <row r="796" spans="1:26" ht="15.75" customHeight="1" x14ac:dyDescent="0.25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</row>
    <row r="797" spans="1:26" ht="15.75" customHeight="1" x14ac:dyDescent="0.25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</row>
    <row r="798" spans="1:26" ht="15.75" customHeight="1" x14ac:dyDescent="0.25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</row>
    <row r="799" spans="1:26" ht="15.75" customHeight="1" x14ac:dyDescent="0.25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</row>
    <row r="800" spans="1:26" ht="15.75" customHeight="1" x14ac:dyDescent="0.25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</row>
    <row r="801" spans="1:26" ht="15.75" customHeight="1" x14ac:dyDescent="0.25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</row>
    <row r="802" spans="1:26" ht="15.75" customHeight="1" x14ac:dyDescent="0.25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</row>
    <row r="803" spans="1:26" ht="15.75" customHeight="1" x14ac:dyDescent="0.25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</row>
    <row r="804" spans="1:26" ht="15.75" customHeight="1" x14ac:dyDescent="0.25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</row>
    <row r="805" spans="1:26" ht="15.75" customHeight="1" x14ac:dyDescent="0.25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</row>
    <row r="806" spans="1:26" ht="15.75" customHeight="1" x14ac:dyDescent="0.25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</row>
    <row r="807" spans="1:26" ht="15.75" customHeight="1" x14ac:dyDescent="0.25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</row>
    <row r="808" spans="1:26" ht="15.75" customHeight="1" x14ac:dyDescent="0.25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</row>
    <row r="809" spans="1:26" ht="15.75" customHeight="1" x14ac:dyDescent="0.25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</row>
    <row r="810" spans="1:26" ht="15.75" customHeight="1" x14ac:dyDescent="0.25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</row>
    <row r="811" spans="1:26" ht="15.75" customHeight="1" x14ac:dyDescent="0.25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</row>
    <row r="812" spans="1:26" ht="15.75" customHeight="1" x14ac:dyDescent="0.25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</row>
    <row r="813" spans="1:26" ht="15.75" customHeight="1" x14ac:dyDescent="0.25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</row>
    <row r="814" spans="1:26" ht="15.75" customHeight="1" x14ac:dyDescent="0.25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</row>
    <row r="815" spans="1:26" ht="15.75" customHeight="1" x14ac:dyDescent="0.25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</row>
    <row r="816" spans="1:26" ht="15.75" customHeight="1" x14ac:dyDescent="0.25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</row>
    <row r="817" spans="1:26" ht="15.75" customHeight="1" x14ac:dyDescent="0.25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</row>
    <row r="818" spans="1:26" ht="15.75" customHeight="1" x14ac:dyDescent="0.25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</row>
    <row r="819" spans="1:26" ht="15.75" customHeight="1" x14ac:dyDescent="0.25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</row>
    <row r="820" spans="1:26" ht="15.75" customHeight="1" x14ac:dyDescent="0.25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</row>
    <row r="821" spans="1:26" ht="15.75" customHeight="1" x14ac:dyDescent="0.25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</row>
    <row r="822" spans="1:26" ht="15.75" customHeight="1" x14ac:dyDescent="0.25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</row>
    <row r="823" spans="1:26" ht="15.75" customHeight="1" x14ac:dyDescent="0.25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</row>
    <row r="824" spans="1:26" ht="15.75" customHeight="1" x14ac:dyDescent="0.25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</row>
    <row r="825" spans="1:26" ht="15.75" customHeight="1" x14ac:dyDescent="0.25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</row>
    <row r="826" spans="1:26" ht="15.75" customHeight="1" x14ac:dyDescent="0.25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</row>
    <row r="827" spans="1:26" ht="15.75" customHeight="1" x14ac:dyDescent="0.25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</row>
    <row r="828" spans="1:26" ht="15.75" customHeight="1" x14ac:dyDescent="0.25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</row>
    <row r="829" spans="1:26" ht="15.75" customHeight="1" x14ac:dyDescent="0.25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</row>
    <row r="830" spans="1:26" ht="15.75" customHeight="1" x14ac:dyDescent="0.25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</row>
    <row r="831" spans="1:26" ht="15.75" customHeight="1" x14ac:dyDescent="0.25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</row>
    <row r="832" spans="1:26" ht="15.75" customHeight="1" x14ac:dyDescent="0.25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</row>
    <row r="833" spans="1:26" ht="15.75" customHeight="1" x14ac:dyDescent="0.25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</row>
    <row r="834" spans="1:26" ht="15.75" customHeight="1" x14ac:dyDescent="0.25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</row>
    <row r="835" spans="1:26" ht="15.75" customHeight="1" x14ac:dyDescent="0.25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</row>
    <row r="836" spans="1:26" ht="15.75" customHeight="1" x14ac:dyDescent="0.25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</row>
    <row r="837" spans="1:26" ht="15.75" customHeight="1" x14ac:dyDescent="0.25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</row>
    <row r="838" spans="1:26" ht="15.75" customHeight="1" x14ac:dyDescent="0.25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</row>
    <row r="839" spans="1:26" ht="15.75" customHeight="1" x14ac:dyDescent="0.25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</row>
    <row r="840" spans="1:26" ht="15.75" customHeight="1" x14ac:dyDescent="0.25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</row>
    <row r="841" spans="1:26" ht="15.75" customHeight="1" x14ac:dyDescent="0.25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</row>
    <row r="842" spans="1:26" ht="15.75" customHeight="1" x14ac:dyDescent="0.25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</row>
    <row r="843" spans="1:26" ht="15.75" customHeight="1" x14ac:dyDescent="0.25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</row>
    <row r="844" spans="1:26" ht="15.75" customHeight="1" x14ac:dyDescent="0.25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</row>
    <row r="845" spans="1:26" ht="15.75" customHeight="1" x14ac:dyDescent="0.25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</row>
    <row r="846" spans="1:26" ht="15.75" customHeight="1" x14ac:dyDescent="0.25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</row>
    <row r="847" spans="1:26" ht="15.75" customHeight="1" x14ac:dyDescent="0.25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</row>
    <row r="848" spans="1:26" ht="15.75" customHeight="1" x14ac:dyDescent="0.25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</row>
    <row r="849" spans="1:26" ht="15.75" customHeight="1" x14ac:dyDescent="0.25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</row>
    <row r="850" spans="1:26" ht="15.75" customHeight="1" x14ac:dyDescent="0.25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</row>
    <row r="851" spans="1:26" ht="15.75" customHeight="1" x14ac:dyDescent="0.25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</row>
    <row r="852" spans="1:26" ht="15.75" customHeight="1" x14ac:dyDescent="0.25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</row>
    <row r="853" spans="1:26" ht="15.75" customHeight="1" x14ac:dyDescent="0.25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</row>
    <row r="854" spans="1:26" ht="15.75" customHeight="1" x14ac:dyDescent="0.25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</row>
    <row r="855" spans="1:26" ht="15.75" customHeight="1" x14ac:dyDescent="0.25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</row>
    <row r="856" spans="1:26" ht="15.75" customHeight="1" x14ac:dyDescent="0.25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</row>
    <row r="857" spans="1:26" ht="15.75" customHeight="1" x14ac:dyDescent="0.25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</row>
    <row r="858" spans="1:26" ht="15.75" customHeight="1" x14ac:dyDescent="0.25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</row>
    <row r="859" spans="1:26" ht="15.75" customHeight="1" x14ac:dyDescent="0.25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</row>
    <row r="860" spans="1:26" ht="15.75" customHeight="1" x14ac:dyDescent="0.25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</row>
    <row r="861" spans="1:26" ht="15.75" customHeight="1" x14ac:dyDescent="0.25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</row>
    <row r="862" spans="1:26" ht="15.75" customHeight="1" x14ac:dyDescent="0.25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</row>
    <row r="863" spans="1:26" ht="15.75" customHeight="1" x14ac:dyDescent="0.25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</row>
    <row r="864" spans="1:26" ht="15.75" customHeight="1" x14ac:dyDescent="0.25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</row>
    <row r="865" spans="1:26" ht="15.75" customHeight="1" x14ac:dyDescent="0.25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</row>
    <row r="866" spans="1:26" ht="15.75" customHeight="1" x14ac:dyDescent="0.25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</row>
    <row r="867" spans="1:26" ht="15.75" customHeight="1" x14ac:dyDescent="0.25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</row>
    <row r="868" spans="1:26" ht="15.75" customHeight="1" x14ac:dyDescent="0.25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</row>
    <row r="869" spans="1:26" ht="15.75" customHeight="1" x14ac:dyDescent="0.25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</row>
    <row r="870" spans="1:26" ht="15.75" customHeight="1" x14ac:dyDescent="0.25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</row>
    <row r="871" spans="1:26" ht="15.75" customHeight="1" x14ac:dyDescent="0.25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</row>
    <row r="872" spans="1:26" ht="15.75" customHeight="1" x14ac:dyDescent="0.25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</row>
    <row r="873" spans="1:26" ht="15.75" customHeight="1" x14ac:dyDescent="0.25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</row>
    <row r="874" spans="1:26" ht="15.75" customHeight="1" x14ac:dyDescent="0.25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</row>
    <row r="875" spans="1:26" ht="15.75" customHeight="1" x14ac:dyDescent="0.25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</row>
    <row r="876" spans="1:26" ht="15.75" customHeight="1" x14ac:dyDescent="0.25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</row>
    <row r="877" spans="1:26" ht="15.75" customHeight="1" x14ac:dyDescent="0.25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</row>
    <row r="878" spans="1:26" ht="15.75" customHeight="1" x14ac:dyDescent="0.25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</row>
    <row r="879" spans="1:26" ht="15.75" customHeight="1" x14ac:dyDescent="0.25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</row>
    <row r="880" spans="1:26" ht="15.75" customHeight="1" x14ac:dyDescent="0.25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</row>
    <row r="881" spans="1:26" ht="15.75" customHeight="1" x14ac:dyDescent="0.25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</row>
    <row r="882" spans="1:26" ht="15.75" customHeight="1" x14ac:dyDescent="0.25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</row>
    <row r="883" spans="1:26" ht="15.75" customHeight="1" x14ac:dyDescent="0.25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</row>
    <row r="884" spans="1:26" ht="15.75" customHeight="1" x14ac:dyDescent="0.25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</row>
    <row r="885" spans="1:26" ht="15.75" customHeight="1" x14ac:dyDescent="0.25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</row>
    <row r="886" spans="1:26" ht="15.75" customHeight="1" x14ac:dyDescent="0.25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</row>
    <row r="887" spans="1:26" ht="15.75" customHeight="1" x14ac:dyDescent="0.25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</row>
    <row r="888" spans="1:26" ht="15.75" customHeight="1" x14ac:dyDescent="0.25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</row>
    <row r="889" spans="1:26" ht="15.75" customHeight="1" x14ac:dyDescent="0.25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</row>
    <row r="890" spans="1:26" ht="15.75" customHeight="1" x14ac:dyDescent="0.25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</row>
    <row r="891" spans="1:26" ht="15.75" customHeight="1" x14ac:dyDescent="0.25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</row>
    <row r="892" spans="1:26" ht="15.75" customHeight="1" x14ac:dyDescent="0.25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</row>
    <row r="893" spans="1:26" ht="15.75" customHeight="1" x14ac:dyDescent="0.25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</row>
    <row r="894" spans="1:26" ht="15.75" customHeight="1" x14ac:dyDescent="0.25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</row>
    <row r="895" spans="1:26" ht="15.75" customHeight="1" x14ac:dyDescent="0.25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</row>
    <row r="896" spans="1:26" ht="15.75" customHeight="1" x14ac:dyDescent="0.25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</row>
    <row r="897" spans="1:26" ht="15.75" customHeight="1" x14ac:dyDescent="0.25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</row>
    <row r="898" spans="1:26" ht="15.75" customHeight="1" x14ac:dyDescent="0.25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</row>
    <row r="899" spans="1:26" ht="15.75" customHeight="1" x14ac:dyDescent="0.25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</row>
    <row r="900" spans="1:26" ht="15.75" customHeight="1" x14ac:dyDescent="0.25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</row>
    <row r="901" spans="1:26" ht="15.75" customHeight="1" x14ac:dyDescent="0.25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</row>
    <row r="902" spans="1:26" ht="15.75" customHeight="1" x14ac:dyDescent="0.25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</row>
    <row r="903" spans="1:26" ht="15.75" customHeight="1" x14ac:dyDescent="0.25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</row>
    <row r="904" spans="1:26" ht="15.75" customHeight="1" x14ac:dyDescent="0.25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</row>
    <row r="905" spans="1:26" ht="15.75" customHeight="1" x14ac:dyDescent="0.25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</row>
    <row r="906" spans="1:26" ht="15.75" customHeight="1" x14ac:dyDescent="0.25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</row>
    <row r="907" spans="1:26" ht="15.75" customHeight="1" x14ac:dyDescent="0.25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</row>
    <row r="908" spans="1:26" ht="15.75" customHeight="1" x14ac:dyDescent="0.25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</row>
    <row r="909" spans="1:26" ht="15.75" customHeight="1" x14ac:dyDescent="0.25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</row>
    <row r="910" spans="1:26" ht="15.75" customHeight="1" x14ac:dyDescent="0.25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</row>
    <row r="911" spans="1:26" ht="15.75" customHeight="1" x14ac:dyDescent="0.25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</row>
    <row r="912" spans="1:26" ht="15.75" customHeight="1" x14ac:dyDescent="0.25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</row>
    <row r="913" spans="1:26" ht="15.75" customHeight="1" x14ac:dyDescent="0.25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</row>
    <row r="914" spans="1:26" ht="15.75" customHeight="1" x14ac:dyDescent="0.25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</row>
    <row r="915" spans="1:26" ht="15.75" customHeight="1" x14ac:dyDescent="0.25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</row>
    <row r="916" spans="1:26" ht="15.75" customHeight="1" x14ac:dyDescent="0.25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</row>
    <row r="917" spans="1:26" ht="15.75" customHeight="1" x14ac:dyDescent="0.25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</row>
    <row r="918" spans="1:26" ht="15.75" customHeight="1" x14ac:dyDescent="0.25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</row>
    <row r="919" spans="1:26" ht="15.75" customHeight="1" x14ac:dyDescent="0.25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</row>
    <row r="920" spans="1:26" ht="15.75" customHeight="1" x14ac:dyDescent="0.25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</row>
    <row r="921" spans="1:26" ht="15.75" customHeight="1" x14ac:dyDescent="0.25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</row>
    <row r="922" spans="1:26" ht="15.75" customHeight="1" x14ac:dyDescent="0.25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</row>
    <row r="923" spans="1:26" ht="15.75" customHeight="1" x14ac:dyDescent="0.25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</row>
    <row r="924" spans="1:26" ht="15.75" customHeight="1" x14ac:dyDescent="0.25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</row>
    <row r="925" spans="1:26" ht="15.75" customHeight="1" x14ac:dyDescent="0.25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</row>
    <row r="926" spans="1:26" ht="15.75" customHeight="1" x14ac:dyDescent="0.25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</row>
    <row r="927" spans="1:26" ht="15.75" customHeight="1" x14ac:dyDescent="0.25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</row>
    <row r="928" spans="1:26" ht="15.75" customHeight="1" x14ac:dyDescent="0.25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</row>
    <row r="929" spans="1:26" ht="15.75" customHeight="1" x14ac:dyDescent="0.25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</row>
    <row r="930" spans="1:26" ht="15.75" customHeight="1" x14ac:dyDescent="0.25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</row>
    <row r="931" spans="1:26" ht="15.75" customHeight="1" x14ac:dyDescent="0.25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</row>
    <row r="932" spans="1:26" ht="15.75" customHeight="1" x14ac:dyDescent="0.25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</row>
    <row r="933" spans="1:26" ht="15.75" customHeight="1" x14ac:dyDescent="0.25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</row>
    <row r="934" spans="1:26" ht="15.75" customHeight="1" x14ac:dyDescent="0.25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</row>
    <row r="935" spans="1:26" ht="15.75" customHeight="1" x14ac:dyDescent="0.25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</row>
    <row r="936" spans="1:26" ht="15.75" customHeight="1" x14ac:dyDescent="0.25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</row>
    <row r="937" spans="1:26" ht="15.75" customHeight="1" x14ac:dyDescent="0.25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</row>
    <row r="938" spans="1:26" ht="15.75" customHeight="1" x14ac:dyDescent="0.25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</row>
    <row r="939" spans="1:26" ht="15.75" customHeight="1" x14ac:dyDescent="0.25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</row>
    <row r="940" spans="1:26" ht="15.75" customHeight="1" x14ac:dyDescent="0.25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</row>
    <row r="941" spans="1:26" ht="15.75" customHeight="1" x14ac:dyDescent="0.25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</row>
    <row r="942" spans="1:26" ht="15.75" customHeight="1" x14ac:dyDescent="0.25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</row>
    <row r="943" spans="1:26" ht="15.75" customHeight="1" x14ac:dyDescent="0.25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</row>
    <row r="944" spans="1:26" ht="15.75" customHeight="1" x14ac:dyDescent="0.25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</row>
    <row r="945" spans="1:26" ht="15.75" customHeight="1" x14ac:dyDescent="0.25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</row>
    <row r="946" spans="1:26" ht="15.75" customHeight="1" x14ac:dyDescent="0.25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</row>
    <row r="947" spans="1:26" ht="15.75" customHeight="1" x14ac:dyDescent="0.25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</row>
    <row r="948" spans="1:26" ht="15.75" customHeight="1" x14ac:dyDescent="0.25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</row>
    <row r="949" spans="1:26" ht="15.75" customHeight="1" x14ac:dyDescent="0.25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</row>
    <row r="950" spans="1:26" ht="15.75" customHeight="1" x14ac:dyDescent="0.25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</row>
    <row r="951" spans="1:26" ht="15.75" customHeight="1" x14ac:dyDescent="0.25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</row>
    <row r="952" spans="1:26" ht="15.75" customHeight="1" x14ac:dyDescent="0.25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</row>
    <row r="953" spans="1:26" ht="15.75" customHeight="1" x14ac:dyDescent="0.25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</row>
    <row r="954" spans="1:26" ht="15.75" customHeight="1" x14ac:dyDescent="0.25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</row>
    <row r="955" spans="1:26" ht="15.75" customHeight="1" x14ac:dyDescent="0.25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</row>
    <row r="956" spans="1:26" ht="15.75" customHeight="1" x14ac:dyDescent="0.25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</row>
    <row r="957" spans="1:26" ht="15.75" customHeight="1" x14ac:dyDescent="0.25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</row>
    <row r="958" spans="1:26" ht="15.75" customHeight="1" x14ac:dyDescent="0.25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</row>
    <row r="959" spans="1:26" ht="15.75" customHeight="1" x14ac:dyDescent="0.25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</row>
    <row r="960" spans="1:26" ht="15.75" customHeight="1" x14ac:dyDescent="0.25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</row>
    <row r="961" spans="1:26" ht="15.75" customHeight="1" x14ac:dyDescent="0.25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</row>
    <row r="962" spans="1:26" ht="15.75" customHeight="1" x14ac:dyDescent="0.25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</row>
    <row r="963" spans="1:26" ht="15.75" customHeight="1" x14ac:dyDescent="0.25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</row>
    <row r="964" spans="1:26" ht="15.75" customHeight="1" x14ac:dyDescent="0.25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</row>
    <row r="965" spans="1:26" ht="15.75" customHeight="1" x14ac:dyDescent="0.25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</row>
    <row r="966" spans="1:26" ht="15.75" customHeight="1" x14ac:dyDescent="0.25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</row>
    <row r="967" spans="1:26" ht="15.75" customHeight="1" x14ac:dyDescent="0.25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</row>
    <row r="968" spans="1:26" ht="15.75" customHeight="1" x14ac:dyDescent="0.25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</row>
    <row r="969" spans="1:26" ht="15.75" customHeight="1" x14ac:dyDescent="0.25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</row>
    <row r="970" spans="1:26" ht="15.75" customHeight="1" x14ac:dyDescent="0.25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</row>
    <row r="971" spans="1:26" ht="15.75" customHeight="1" x14ac:dyDescent="0.25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</row>
    <row r="972" spans="1:26" ht="15.75" customHeight="1" x14ac:dyDescent="0.25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</row>
    <row r="973" spans="1:26" ht="15.75" customHeight="1" x14ac:dyDescent="0.25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</row>
    <row r="974" spans="1:26" ht="15.75" customHeight="1" x14ac:dyDescent="0.25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</row>
    <row r="975" spans="1:26" ht="15.75" customHeight="1" x14ac:dyDescent="0.25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</row>
    <row r="976" spans="1:26" ht="15.75" customHeight="1" x14ac:dyDescent="0.25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</row>
    <row r="977" spans="1:26" ht="15.75" customHeight="1" x14ac:dyDescent="0.25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</row>
    <row r="978" spans="1:26" ht="15.75" customHeight="1" x14ac:dyDescent="0.25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</row>
    <row r="979" spans="1:26" ht="15.75" customHeight="1" x14ac:dyDescent="0.25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</row>
    <row r="980" spans="1:26" ht="15.75" customHeight="1" x14ac:dyDescent="0.25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</row>
    <row r="981" spans="1:26" ht="15.75" customHeight="1" x14ac:dyDescent="0.25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</row>
    <row r="982" spans="1:26" ht="15.75" customHeight="1" x14ac:dyDescent="0.25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</row>
    <row r="983" spans="1:26" ht="15.75" customHeight="1" x14ac:dyDescent="0.25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</row>
    <row r="984" spans="1:26" ht="15.75" customHeight="1" x14ac:dyDescent="0.25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</row>
    <row r="985" spans="1:26" ht="15.75" customHeight="1" x14ac:dyDescent="0.25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</row>
    <row r="986" spans="1:26" ht="15.75" customHeight="1" x14ac:dyDescent="0.25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</row>
    <row r="987" spans="1:26" ht="15.75" customHeight="1" x14ac:dyDescent="0.25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</row>
    <row r="988" spans="1:26" ht="15.75" customHeight="1" x14ac:dyDescent="0.25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</row>
    <row r="989" spans="1:26" ht="15.75" customHeight="1" x14ac:dyDescent="0.25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</row>
    <row r="990" spans="1:26" ht="15.75" customHeight="1" x14ac:dyDescent="0.25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</row>
    <row r="991" spans="1:26" ht="15.75" customHeight="1" x14ac:dyDescent="0.25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</row>
    <row r="992" spans="1:26" ht="15.75" customHeight="1" x14ac:dyDescent="0.25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</row>
    <row r="993" spans="1:26" ht="15.75" customHeight="1" x14ac:dyDescent="0.25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</row>
    <row r="994" spans="1:26" ht="15.75" customHeight="1" x14ac:dyDescent="0.25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</row>
    <row r="995" spans="1:26" ht="15.75" customHeight="1" x14ac:dyDescent="0.25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</row>
    <row r="996" spans="1:26" ht="15.75" customHeight="1" x14ac:dyDescent="0.25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</row>
    <row r="997" spans="1:26" ht="15.75" customHeight="1" x14ac:dyDescent="0.25">
      <c r="A997" s="148"/>
      <c r="B997" s="148"/>
      <c r="C997" s="148"/>
      <c r="D997" s="148"/>
      <c r="E997" s="148"/>
      <c r="F997" s="148"/>
      <c r="G997" s="148"/>
      <c r="H997" s="148"/>
      <c r="I997" s="148"/>
      <c r="J997" s="148"/>
      <c r="K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  <c r="X997" s="148"/>
      <c r="Y997" s="148"/>
      <c r="Z997" s="148"/>
    </row>
    <row r="998" spans="1:26" ht="15.75" customHeight="1" x14ac:dyDescent="0.25">
      <c r="A998" s="148"/>
      <c r="B998" s="148"/>
      <c r="C998" s="148"/>
      <c r="D998" s="148"/>
      <c r="E998" s="148"/>
      <c r="F998" s="148"/>
      <c r="G998" s="148"/>
      <c r="H998" s="148"/>
      <c r="I998" s="148"/>
      <c r="J998" s="148"/>
      <c r="K998" s="148"/>
      <c r="L998" s="148"/>
      <c r="M998" s="148"/>
      <c r="N998" s="148"/>
      <c r="O998" s="148"/>
      <c r="P998" s="148"/>
      <c r="Q998" s="148"/>
      <c r="R998" s="148"/>
      <c r="S998" s="148"/>
      <c r="T998" s="148"/>
      <c r="U998" s="148"/>
      <c r="V998" s="148"/>
      <c r="W998" s="148"/>
      <c r="X998" s="148"/>
      <c r="Y998" s="148"/>
      <c r="Z998" s="148"/>
    </row>
    <row r="999" spans="1:26" ht="15.75" customHeight="1" x14ac:dyDescent="0.25">
      <c r="A999" s="148"/>
      <c r="B999" s="148"/>
      <c r="C999" s="148"/>
      <c r="D999" s="148"/>
      <c r="E999" s="148"/>
      <c r="F999" s="148"/>
      <c r="G999" s="148"/>
      <c r="H999" s="148"/>
      <c r="I999" s="148"/>
      <c r="J999" s="148"/>
      <c r="K999" s="148"/>
      <c r="L999" s="148"/>
      <c r="M999" s="148"/>
      <c r="N999" s="148"/>
      <c r="O999" s="148"/>
      <c r="P999" s="148"/>
      <c r="Q999" s="148"/>
      <c r="R999" s="148"/>
      <c r="S999" s="148"/>
      <c r="T999" s="148"/>
      <c r="U999" s="148"/>
      <c r="V999" s="148"/>
      <c r="W999" s="148"/>
      <c r="X999" s="148"/>
      <c r="Y999" s="148"/>
      <c r="Z999" s="148"/>
    </row>
    <row r="1000" spans="1:26" ht="15.75" customHeight="1" x14ac:dyDescent="0.25">
      <c r="A1000" s="148"/>
      <c r="B1000" s="148"/>
      <c r="C1000" s="148"/>
      <c r="D1000" s="148"/>
      <c r="E1000" s="148"/>
      <c r="F1000" s="148"/>
      <c r="G1000" s="148"/>
      <c r="H1000" s="148"/>
      <c r="I1000" s="148"/>
      <c r="J1000" s="148"/>
      <c r="K1000" s="148"/>
      <c r="L1000" s="148"/>
      <c r="M1000" s="148"/>
      <c r="N1000" s="148"/>
      <c r="O1000" s="148"/>
      <c r="P1000" s="148"/>
      <c r="Q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</row>
    <row r="1001" spans="1:26" ht="15.75" customHeight="1" x14ac:dyDescent="0.25">
      <c r="A1001" s="148"/>
      <c r="B1001" s="148"/>
      <c r="C1001" s="148"/>
      <c r="D1001" s="148"/>
      <c r="E1001" s="148"/>
      <c r="F1001" s="148"/>
      <c r="G1001" s="148"/>
      <c r="H1001" s="148"/>
      <c r="I1001" s="148"/>
      <c r="J1001" s="148"/>
      <c r="K1001" s="148"/>
      <c r="L1001" s="148"/>
      <c r="M1001" s="148"/>
      <c r="N1001" s="148"/>
      <c r="O1001" s="148"/>
      <c r="P1001" s="148"/>
      <c r="Q1001" s="148"/>
      <c r="R1001" s="148"/>
      <c r="S1001" s="148"/>
      <c r="T1001" s="148"/>
      <c r="U1001" s="148"/>
      <c r="V1001" s="148"/>
      <c r="W1001" s="148"/>
      <c r="X1001" s="148"/>
      <c r="Y1001" s="148"/>
      <c r="Z1001" s="148"/>
    </row>
    <row r="1002" spans="1:26" ht="15.75" customHeight="1" x14ac:dyDescent="0.25">
      <c r="A1002" s="148"/>
      <c r="B1002" s="148"/>
      <c r="C1002" s="148"/>
      <c r="D1002" s="148"/>
      <c r="E1002" s="148"/>
      <c r="F1002" s="148"/>
      <c r="G1002" s="148"/>
      <c r="H1002" s="148"/>
      <c r="I1002" s="148"/>
      <c r="J1002" s="148"/>
      <c r="K1002" s="148"/>
      <c r="L1002" s="148"/>
      <c r="M1002" s="148"/>
      <c r="N1002" s="148"/>
      <c r="O1002" s="148"/>
      <c r="P1002" s="148"/>
      <c r="Q1002" s="148"/>
      <c r="R1002" s="148"/>
      <c r="S1002" s="148"/>
      <c r="T1002" s="148"/>
      <c r="U1002" s="148"/>
      <c r="V1002" s="148"/>
      <c r="W1002" s="148"/>
      <c r="X1002" s="148"/>
      <c r="Y1002" s="148"/>
      <c r="Z1002" s="148"/>
    </row>
    <row r="1003" spans="1:26" ht="15.75" customHeight="1" x14ac:dyDescent="0.25">
      <c r="A1003" s="148"/>
      <c r="B1003" s="148"/>
      <c r="C1003" s="148"/>
      <c r="D1003" s="148"/>
      <c r="E1003" s="148"/>
      <c r="F1003" s="148"/>
      <c r="G1003" s="148"/>
      <c r="H1003" s="148"/>
      <c r="I1003" s="148"/>
      <c r="J1003" s="148"/>
      <c r="K1003" s="148"/>
      <c r="L1003" s="148"/>
      <c r="M1003" s="148"/>
      <c r="N1003" s="148"/>
      <c r="O1003" s="148"/>
      <c r="P1003" s="148"/>
      <c r="Q1003" s="148"/>
      <c r="R1003" s="148"/>
      <c r="S1003" s="148"/>
      <c r="T1003" s="148"/>
      <c r="U1003" s="148"/>
      <c r="V1003" s="148"/>
      <c r="W1003" s="148"/>
      <c r="X1003" s="148"/>
      <c r="Y1003" s="148"/>
      <c r="Z1003" s="148"/>
    </row>
    <row r="1004" spans="1:26" ht="15.75" customHeight="1" x14ac:dyDescent="0.25">
      <c r="A1004" s="148"/>
      <c r="B1004" s="148"/>
      <c r="C1004" s="148"/>
      <c r="D1004" s="148"/>
      <c r="E1004" s="148"/>
      <c r="F1004" s="148"/>
      <c r="G1004" s="148"/>
      <c r="H1004" s="148"/>
      <c r="I1004" s="148"/>
      <c r="J1004" s="148"/>
      <c r="K1004" s="148"/>
      <c r="L1004" s="148"/>
      <c r="M1004" s="148"/>
      <c r="N1004" s="148"/>
      <c r="O1004" s="148"/>
      <c r="P1004" s="148"/>
      <c r="Q1004" s="148"/>
      <c r="R1004" s="148"/>
      <c r="S1004" s="148"/>
      <c r="T1004" s="148"/>
      <c r="U1004" s="148"/>
      <c r="V1004" s="148"/>
      <c r="W1004" s="148"/>
      <c r="X1004" s="148"/>
      <c r="Y1004" s="148"/>
      <c r="Z1004" s="148"/>
    </row>
    <row r="1005" spans="1:26" ht="15.75" customHeight="1" x14ac:dyDescent="0.25">
      <c r="A1005" s="148"/>
      <c r="B1005" s="148"/>
      <c r="C1005" s="148"/>
      <c r="D1005" s="148"/>
      <c r="E1005" s="148"/>
      <c r="F1005" s="148"/>
      <c r="G1005" s="148"/>
      <c r="H1005" s="148"/>
      <c r="I1005" s="148"/>
      <c r="J1005" s="148"/>
      <c r="K1005" s="148"/>
      <c r="L1005" s="148"/>
      <c r="M1005" s="148"/>
      <c r="N1005" s="148"/>
      <c r="O1005" s="148"/>
      <c r="P1005" s="148"/>
      <c r="Q1005" s="148"/>
      <c r="R1005" s="148"/>
      <c r="S1005" s="148"/>
      <c r="T1005" s="148"/>
      <c r="U1005" s="148"/>
      <c r="V1005" s="148"/>
      <c r="W1005" s="148"/>
      <c r="X1005" s="148"/>
      <c r="Y1005" s="148"/>
      <c r="Z1005" s="148"/>
    </row>
    <row r="1006" spans="1:26" ht="15.75" customHeight="1" x14ac:dyDescent="0.25">
      <c r="A1006" s="148"/>
      <c r="B1006" s="148"/>
      <c r="C1006" s="148"/>
      <c r="D1006" s="148"/>
      <c r="E1006" s="148"/>
      <c r="F1006" s="148"/>
      <c r="G1006" s="148"/>
      <c r="H1006" s="148"/>
      <c r="I1006" s="148"/>
      <c r="J1006" s="148"/>
      <c r="K1006" s="148"/>
      <c r="L1006" s="148"/>
      <c r="M1006" s="148"/>
      <c r="N1006" s="148"/>
      <c r="O1006" s="148"/>
      <c r="P1006" s="148"/>
      <c r="Q1006" s="148"/>
      <c r="R1006" s="148"/>
      <c r="S1006" s="148"/>
      <c r="T1006" s="148"/>
      <c r="U1006" s="148"/>
      <c r="V1006" s="148"/>
      <c r="W1006" s="148"/>
      <c r="X1006" s="148"/>
      <c r="Y1006" s="148"/>
      <c r="Z1006" s="148"/>
    </row>
    <row r="1007" spans="1:26" ht="15.75" customHeight="1" x14ac:dyDescent="0.25">
      <c r="A1007" s="148"/>
      <c r="B1007" s="148"/>
      <c r="C1007" s="148"/>
      <c r="D1007" s="148"/>
      <c r="E1007" s="148"/>
      <c r="F1007" s="148"/>
      <c r="G1007" s="148"/>
      <c r="H1007" s="148"/>
      <c r="I1007" s="148"/>
      <c r="J1007" s="148"/>
      <c r="K1007" s="148"/>
      <c r="L1007" s="148"/>
      <c r="M1007" s="148"/>
      <c r="N1007" s="148"/>
      <c r="O1007" s="148"/>
      <c r="P1007" s="148"/>
      <c r="Q1007" s="148"/>
      <c r="R1007" s="148"/>
      <c r="S1007" s="148"/>
      <c r="T1007" s="148"/>
      <c r="U1007" s="148"/>
      <c r="V1007" s="148"/>
      <c r="W1007" s="148"/>
      <c r="X1007" s="148"/>
      <c r="Y1007" s="148"/>
      <c r="Z1007" s="148"/>
    </row>
    <row r="1008" spans="1:26" ht="15.75" customHeight="1" x14ac:dyDescent="0.25">
      <c r="A1008" s="148"/>
      <c r="B1008" s="148"/>
      <c r="C1008" s="148"/>
      <c r="D1008" s="148"/>
      <c r="E1008" s="148"/>
      <c r="F1008" s="148"/>
      <c r="G1008" s="148"/>
      <c r="H1008" s="148"/>
      <c r="I1008" s="148"/>
      <c r="J1008" s="148"/>
      <c r="K1008" s="148"/>
      <c r="L1008" s="148"/>
      <c r="M1008" s="148"/>
      <c r="N1008" s="148"/>
      <c r="O1008" s="148"/>
      <c r="P1008" s="148"/>
      <c r="Q1008" s="148"/>
      <c r="R1008" s="148"/>
      <c r="S1008" s="148"/>
      <c r="T1008" s="148"/>
      <c r="U1008" s="148"/>
      <c r="V1008" s="148"/>
      <c r="W1008" s="148"/>
      <c r="X1008" s="148"/>
      <c r="Y1008" s="148"/>
      <c r="Z1008" s="148"/>
    </row>
    <row r="1009" spans="1:26" ht="15.75" customHeight="1" x14ac:dyDescent="0.25">
      <c r="A1009" s="148"/>
      <c r="B1009" s="148"/>
      <c r="C1009" s="148"/>
      <c r="D1009" s="148"/>
      <c r="E1009" s="148"/>
      <c r="F1009" s="148"/>
      <c r="G1009" s="148"/>
      <c r="H1009" s="148"/>
      <c r="I1009" s="148"/>
      <c r="J1009" s="148"/>
      <c r="K1009" s="148"/>
      <c r="L1009" s="148"/>
      <c r="M1009" s="148"/>
      <c r="N1009" s="148"/>
      <c r="O1009" s="148"/>
      <c r="P1009" s="148"/>
      <c r="Q1009" s="148"/>
      <c r="R1009" s="148"/>
      <c r="S1009" s="148"/>
      <c r="T1009" s="148"/>
      <c r="U1009" s="148"/>
      <c r="V1009" s="148"/>
      <c r="W1009" s="148"/>
      <c r="X1009" s="148"/>
      <c r="Y1009" s="148"/>
      <c r="Z1009" s="148"/>
    </row>
    <row r="1010" spans="1:26" ht="15.75" customHeight="1" x14ac:dyDescent="0.25">
      <c r="A1010" s="148"/>
      <c r="B1010" s="148"/>
      <c r="C1010" s="148"/>
      <c r="D1010" s="148"/>
      <c r="E1010" s="148"/>
      <c r="F1010" s="148"/>
      <c r="G1010" s="148"/>
      <c r="H1010" s="148"/>
      <c r="I1010" s="148"/>
      <c r="J1010" s="148"/>
      <c r="K1010" s="148"/>
      <c r="L1010" s="148"/>
      <c r="M1010" s="148"/>
      <c r="N1010" s="148"/>
      <c r="O1010" s="148"/>
      <c r="P1010" s="148"/>
      <c r="Q1010" s="148"/>
      <c r="R1010" s="148"/>
      <c r="S1010" s="148"/>
      <c r="T1010" s="148"/>
      <c r="U1010" s="148"/>
      <c r="V1010" s="148"/>
      <c r="W1010" s="148"/>
      <c r="X1010" s="148"/>
      <c r="Y1010" s="148"/>
      <c r="Z1010" s="148"/>
    </row>
    <row r="1011" spans="1:26" ht="15.75" customHeight="1" x14ac:dyDescent="0.25">
      <c r="A1011" s="148"/>
      <c r="B1011" s="148"/>
      <c r="C1011" s="148"/>
      <c r="D1011" s="148"/>
      <c r="E1011" s="148"/>
      <c r="F1011" s="148"/>
      <c r="G1011" s="148"/>
      <c r="H1011" s="148"/>
      <c r="I1011" s="148"/>
      <c r="J1011" s="148"/>
      <c r="K1011" s="148"/>
      <c r="L1011" s="148"/>
      <c r="M1011" s="148"/>
      <c r="N1011" s="148"/>
      <c r="O1011" s="148"/>
      <c r="P1011" s="148"/>
      <c r="Q1011" s="148"/>
      <c r="R1011" s="148"/>
      <c r="S1011" s="148"/>
      <c r="T1011" s="148"/>
      <c r="U1011" s="148"/>
      <c r="V1011" s="148"/>
      <c r="W1011" s="148"/>
      <c r="X1011" s="148"/>
      <c r="Y1011" s="148"/>
      <c r="Z1011" s="148"/>
    </row>
    <row r="1012" spans="1:26" ht="15.75" customHeight="1" x14ac:dyDescent="0.25">
      <c r="A1012" s="148"/>
      <c r="B1012" s="148"/>
      <c r="C1012" s="148"/>
      <c r="D1012" s="148"/>
      <c r="E1012" s="148"/>
      <c r="F1012" s="148"/>
      <c r="G1012" s="148"/>
      <c r="H1012" s="148"/>
      <c r="I1012" s="148"/>
      <c r="J1012" s="148"/>
      <c r="K1012" s="148"/>
      <c r="L1012" s="148"/>
      <c r="M1012" s="148"/>
      <c r="N1012" s="148"/>
      <c r="O1012" s="148"/>
      <c r="P1012" s="148"/>
      <c r="Q1012" s="148"/>
      <c r="R1012" s="148"/>
      <c r="S1012" s="148"/>
      <c r="T1012" s="148"/>
      <c r="U1012" s="148"/>
      <c r="V1012" s="148"/>
      <c r="W1012" s="148"/>
      <c r="X1012" s="148"/>
      <c r="Y1012" s="148"/>
      <c r="Z1012" s="148"/>
    </row>
    <row r="1013" spans="1:26" ht="15.75" customHeight="1" x14ac:dyDescent="0.25">
      <c r="A1013" s="148"/>
      <c r="B1013" s="148"/>
      <c r="C1013" s="148"/>
      <c r="D1013" s="148"/>
      <c r="E1013" s="148"/>
      <c r="F1013" s="148"/>
      <c r="G1013" s="148"/>
      <c r="H1013" s="148"/>
      <c r="I1013" s="148"/>
      <c r="J1013" s="148"/>
      <c r="K1013" s="148"/>
      <c r="L1013" s="148"/>
      <c r="M1013" s="148"/>
      <c r="N1013" s="148"/>
      <c r="O1013" s="148"/>
      <c r="P1013" s="148"/>
      <c r="Q1013" s="148"/>
      <c r="R1013" s="148"/>
      <c r="S1013" s="148"/>
      <c r="T1013" s="148"/>
      <c r="U1013" s="148"/>
      <c r="V1013" s="148"/>
      <c r="W1013" s="148"/>
      <c r="X1013" s="148"/>
      <c r="Y1013" s="148"/>
      <c r="Z1013" s="148"/>
    </row>
    <row r="1014" spans="1:26" ht="15.75" customHeight="1" x14ac:dyDescent="0.25">
      <c r="A1014" s="148"/>
      <c r="B1014" s="148"/>
      <c r="C1014" s="148"/>
      <c r="D1014" s="148"/>
      <c r="E1014" s="148"/>
      <c r="F1014" s="148"/>
      <c r="G1014" s="148"/>
      <c r="H1014" s="148"/>
      <c r="I1014" s="148"/>
      <c r="J1014" s="148"/>
      <c r="K1014" s="148"/>
      <c r="L1014" s="148"/>
      <c r="M1014" s="148"/>
      <c r="N1014" s="148"/>
      <c r="O1014" s="148"/>
      <c r="P1014" s="148"/>
      <c r="Q1014" s="148"/>
      <c r="R1014" s="148"/>
      <c r="S1014" s="148"/>
      <c r="T1014" s="148"/>
      <c r="U1014" s="148"/>
      <c r="V1014" s="148"/>
      <c r="W1014" s="148"/>
      <c r="X1014" s="148"/>
      <c r="Y1014" s="148"/>
      <c r="Z1014" s="148"/>
    </row>
    <row r="1015" spans="1:26" ht="15.75" customHeight="1" x14ac:dyDescent="0.25">
      <c r="A1015" s="148"/>
      <c r="B1015" s="148"/>
      <c r="C1015" s="148"/>
      <c r="D1015" s="148"/>
      <c r="E1015" s="148"/>
      <c r="F1015" s="148"/>
      <c r="G1015" s="148"/>
      <c r="H1015" s="148"/>
      <c r="I1015" s="148"/>
      <c r="J1015" s="148"/>
      <c r="K1015" s="148"/>
      <c r="L1015" s="148"/>
      <c r="M1015" s="148"/>
      <c r="N1015" s="148"/>
      <c r="O1015" s="148"/>
      <c r="P1015" s="148"/>
      <c r="Q1015" s="148"/>
      <c r="R1015" s="148"/>
      <c r="S1015" s="148"/>
      <c r="T1015" s="148"/>
      <c r="U1015" s="148"/>
      <c r="V1015" s="148"/>
      <c r="W1015" s="148"/>
      <c r="X1015" s="148"/>
      <c r="Y1015" s="148"/>
      <c r="Z1015" s="148"/>
    </row>
    <row r="1016" spans="1:26" ht="15.75" customHeight="1" x14ac:dyDescent="0.25">
      <c r="A1016" s="148"/>
      <c r="B1016" s="148"/>
      <c r="C1016" s="148"/>
      <c r="D1016" s="148"/>
      <c r="E1016" s="148"/>
      <c r="F1016" s="148"/>
      <c r="G1016" s="148"/>
      <c r="H1016" s="148"/>
      <c r="I1016" s="148"/>
      <c r="J1016" s="148"/>
      <c r="K1016" s="148"/>
      <c r="L1016" s="148"/>
      <c r="M1016" s="148"/>
      <c r="N1016" s="148"/>
      <c r="O1016" s="148"/>
      <c r="P1016" s="148"/>
      <c r="Q1016" s="148"/>
      <c r="R1016" s="148"/>
      <c r="S1016" s="148"/>
      <c r="T1016" s="148"/>
      <c r="U1016" s="148"/>
      <c r="V1016" s="148"/>
      <c r="W1016" s="148"/>
      <c r="X1016" s="148"/>
      <c r="Y1016" s="148"/>
      <c r="Z1016" s="148"/>
    </row>
    <row r="1017" spans="1:26" ht="15.75" customHeight="1" x14ac:dyDescent="0.25">
      <c r="A1017" s="148"/>
      <c r="B1017" s="148"/>
      <c r="C1017" s="148"/>
      <c r="D1017" s="148"/>
      <c r="E1017" s="148"/>
      <c r="F1017" s="148"/>
      <c r="G1017" s="148"/>
      <c r="H1017" s="148"/>
      <c r="I1017" s="148"/>
      <c r="J1017" s="148"/>
      <c r="K1017" s="148"/>
      <c r="L1017" s="148"/>
      <c r="M1017" s="148"/>
      <c r="N1017" s="148"/>
      <c r="O1017" s="148"/>
      <c r="P1017" s="148"/>
      <c r="Q1017" s="148"/>
      <c r="R1017" s="148"/>
      <c r="S1017" s="148"/>
      <c r="T1017" s="148"/>
      <c r="U1017" s="148"/>
      <c r="V1017" s="148"/>
      <c r="W1017" s="148"/>
      <c r="X1017" s="148"/>
      <c r="Y1017" s="148"/>
      <c r="Z1017" s="148"/>
    </row>
    <row r="1018" spans="1:26" ht="15.75" customHeight="1" x14ac:dyDescent="0.25">
      <c r="A1018" s="148"/>
      <c r="B1018" s="148"/>
      <c r="C1018" s="148"/>
      <c r="D1018" s="148"/>
      <c r="E1018" s="148"/>
      <c r="F1018" s="148"/>
      <c r="G1018" s="148"/>
      <c r="H1018" s="148"/>
      <c r="I1018" s="148"/>
      <c r="J1018" s="148"/>
      <c r="K1018" s="148"/>
      <c r="L1018" s="148"/>
      <c r="M1018" s="148"/>
      <c r="N1018" s="148"/>
      <c r="O1018" s="148"/>
      <c r="P1018" s="148"/>
      <c r="Q1018" s="148"/>
      <c r="R1018" s="148"/>
      <c r="S1018" s="148"/>
      <c r="T1018" s="148"/>
      <c r="U1018" s="148"/>
      <c r="V1018" s="148"/>
      <c r="W1018" s="148"/>
      <c r="X1018" s="148"/>
      <c r="Y1018" s="148"/>
      <c r="Z1018" s="148"/>
    </row>
    <row r="1019" spans="1:26" ht="15.75" customHeight="1" x14ac:dyDescent="0.25">
      <c r="A1019" s="148"/>
      <c r="B1019" s="148"/>
      <c r="C1019" s="148"/>
      <c r="D1019" s="148"/>
      <c r="E1019" s="148"/>
      <c r="F1019" s="148"/>
      <c r="G1019" s="148"/>
      <c r="H1019" s="148"/>
      <c r="I1019" s="148"/>
      <c r="J1019" s="148"/>
      <c r="K1019" s="148"/>
      <c r="L1019" s="148"/>
      <c r="M1019" s="148"/>
      <c r="N1019" s="148"/>
      <c r="O1019" s="148"/>
      <c r="P1019" s="148"/>
      <c r="Q1019" s="148"/>
      <c r="R1019" s="148"/>
      <c r="S1019" s="148"/>
      <c r="T1019" s="148"/>
      <c r="U1019" s="148"/>
      <c r="V1019" s="148"/>
      <c r="W1019" s="148"/>
      <c r="X1019" s="148"/>
      <c r="Y1019" s="148"/>
      <c r="Z1019" s="148"/>
    </row>
    <row r="1020" spans="1:26" ht="15.75" customHeight="1" x14ac:dyDescent="0.25">
      <c r="A1020" s="148"/>
      <c r="B1020" s="148"/>
      <c r="C1020" s="148"/>
      <c r="D1020" s="148"/>
      <c r="E1020" s="148"/>
      <c r="F1020" s="148"/>
      <c r="G1020" s="148"/>
      <c r="H1020" s="148"/>
      <c r="I1020" s="148"/>
      <c r="J1020" s="148"/>
      <c r="K1020" s="148"/>
      <c r="L1020" s="148"/>
      <c r="M1020" s="148"/>
      <c r="N1020" s="148"/>
      <c r="O1020" s="148"/>
      <c r="P1020" s="148"/>
      <c r="Q1020" s="148"/>
      <c r="R1020" s="148"/>
      <c r="S1020" s="148"/>
      <c r="T1020" s="148"/>
      <c r="U1020" s="148"/>
      <c r="V1020" s="148"/>
      <c r="W1020" s="148"/>
      <c r="X1020" s="148"/>
      <c r="Y1020" s="148"/>
      <c r="Z1020" s="148"/>
    </row>
    <row r="1021" spans="1:26" ht="15.75" customHeight="1" x14ac:dyDescent="0.25">
      <c r="A1021" s="148"/>
      <c r="B1021" s="148"/>
      <c r="C1021" s="148"/>
      <c r="D1021" s="148"/>
      <c r="E1021" s="148"/>
      <c r="F1021" s="148"/>
      <c r="G1021" s="148"/>
      <c r="H1021" s="148"/>
      <c r="I1021" s="148"/>
      <c r="J1021" s="148"/>
      <c r="K1021" s="148"/>
      <c r="L1021" s="148"/>
      <c r="M1021" s="148"/>
      <c r="N1021" s="148"/>
      <c r="O1021" s="148"/>
      <c r="P1021" s="148"/>
      <c r="Q1021" s="148"/>
      <c r="R1021" s="148"/>
      <c r="S1021" s="148"/>
      <c r="T1021" s="148"/>
      <c r="U1021" s="148"/>
      <c r="V1021" s="148"/>
      <c r="W1021" s="148"/>
      <c r="X1021" s="148"/>
      <c r="Y1021" s="148"/>
      <c r="Z1021" s="148"/>
    </row>
    <row r="1022" spans="1:26" ht="15.75" customHeight="1" x14ac:dyDescent="0.25">
      <c r="A1022" s="148"/>
      <c r="B1022" s="148"/>
      <c r="C1022" s="148"/>
      <c r="D1022" s="148"/>
      <c r="E1022" s="148"/>
      <c r="F1022" s="148"/>
      <c r="G1022" s="148"/>
      <c r="H1022" s="148"/>
      <c r="I1022" s="148"/>
      <c r="J1022" s="148"/>
      <c r="K1022" s="148"/>
      <c r="L1022" s="148"/>
      <c r="M1022" s="148"/>
      <c r="N1022" s="148"/>
      <c r="O1022" s="148"/>
      <c r="P1022" s="148"/>
      <c r="Q1022" s="148"/>
      <c r="R1022" s="148"/>
      <c r="S1022" s="148"/>
      <c r="T1022" s="148"/>
      <c r="U1022" s="148"/>
      <c r="V1022" s="148"/>
      <c r="W1022" s="148"/>
      <c r="X1022" s="148"/>
      <c r="Y1022" s="148"/>
      <c r="Z1022" s="148"/>
    </row>
    <row r="1023" spans="1:26" ht="15.75" customHeight="1" x14ac:dyDescent="0.25">
      <c r="A1023" s="148"/>
      <c r="B1023" s="148"/>
      <c r="C1023" s="148"/>
      <c r="D1023" s="148"/>
      <c r="E1023" s="148"/>
      <c r="F1023" s="148"/>
      <c r="G1023" s="148"/>
      <c r="H1023" s="148"/>
      <c r="I1023" s="148"/>
      <c r="J1023" s="148"/>
      <c r="K1023" s="148"/>
      <c r="L1023" s="148"/>
      <c r="M1023" s="148"/>
      <c r="N1023" s="148"/>
      <c r="O1023" s="148"/>
      <c r="P1023" s="148"/>
      <c r="Q1023" s="148"/>
      <c r="R1023" s="148"/>
      <c r="S1023" s="148"/>
      <c r="T1023" s="148"/>
      <c r="U1023" s="148"/>
      <c r="V1023" s="148"/>
      <c r="W1023" s="148"/>
      <c r="X1023" s="148"/>
      <c r="Y1023" s="148"/>
      <c r="Z1023" s="148"/>
    </row>
    <row r="1024" spans="1:26" ht="15.75" customHeight="1" x14ac:dyDescent="0.25">
      <c r="A1024" s="148"/>
      <c r="B1024" s="148"/>
      <c r="C1024" s="148"/>
      <c r="D1024" s="148"/>
      <c r="E1024" s="148"/>
      <c r="F1024" s="148"/>
      <c r="G1024" s="148"/>
      <c r="H1024" s="148"/>
      <c r="I1024" s="148"/>
      <c r="J1024" s="148"/>
      <c r="K1024" s="148"/>
      <c r="L1024" s="148"/>
      <c r="M1024" s="148"/>
      <c r="N1024" s="148"/>
      <c r="O1024" s="148"/>
      <c r="P1024" s="148"/>
      <c r="Q1024" s="148"/>
      <c r="R1024" s="148"/>
      <c r="S1024" s="148"/>
      <c r="T1024" s="148"/>
      <c r="U1024" s="148"/>
      <c r="V1024" s="148"/>
      <c r="W1024" s="148"/>
      <c r="X1024" s="148"/>
      <c r="Y1024" s="148"/>
      <c r="Z1024" s="148"/>
    </row>
    <row r="1025" spans="1:26" ht="15.75" customHeight="1" x14ac:dyDescent="0.25">
      <c r="A1025" s="148"/>
      <c r="B1025" s="148"/>
      <c r="C1025" s="148"/>
      <c r="D1025" s="148"/>
      <c r="E1025" s="148"/>
      <c r="F1025" s="148"/>
      <c r="G1025" s="148"/>
      <c r="H1025" s="148"/>
      <c r="I1025" s="148"/>
      <c r="J1025" s="148"/>
      <c r="K1025" s="148"/>
      <c r="L1025" s="148"/>
      <c r="M1025" s="148"/>
      <c r="N1025" s="148"/>
      <c r="O1025" s="148"/>
      <c r="P1025" s="148"/>
      <c r="Q1025" s="148"/>
      <c r="R1025" s="148"/>
      <c r="S1025" s="148"/>
      <c r="T1025" s="148"/>
      <c r="U1025" s="148"/>
      <c r="V1025" s="148"/>
      <c r="W1025" s="148"/>
      <c r="X1025" s="148"/>
      <c r="Y1025" s="148"/>
      <c r="Z1025" s="148"/>
    </row>
    <row r="1026" spans="1:26" ht="15.75" customHeight="1" x14ac:dyDescent="0.25">
      <c r="A1026" s="148"/>
      <c r="B1026" s="148"/>
      <c r="C1026" s="148"/>
      <c r="D1026" s="148"/>
      <c r="E1026" s="148"/>
      <c r="F1026" s="148"/>
      <c r="G1026" s="148"/>
      <c r="H1026" s="148"/>
      <c r="I1026" s="148"/>
      <c r="J1026" s="148"/>
      <c r="K1026" s="148"/>
      <c r="L1026" s="148"/>
      <c r="M1026" s="148"/>
      <c r="N1026" s="148"/>
      <c r="O1026" s="148"/>
      <c r="P1026" s="148"/>
      <c r="Q1026" s="148"/>
      <c r="R1026" s="148"/>
      <c r="S1026" s="148"/>
      <c r="T1026" s="148"/>
      <c r="U1026" s="148"/>
      <c r="V1026" s="148"/>
      <c r="W1026" s="148"/>
      <c r="X1026" s="148"/>
      <c r="Y1026" s="148"/>
      <c r="Z1026" s="148"/>
    </row>
    <row r="1027" spans="1:26" ht="15.75" customHeight="1" x14ac:dyDescent="0.25">
      <c r="A1027" s="148"/>
      <c r="B1027" s="148"/>
      <c r="C1027" s="148"/>
      <c r="D1027" s="148"/>
      <c r="E1027" s="148"/>
      <c r="F1027" s="148"/>
      <c r="G1027" s="148"/>
      <c r="H1027" s="148"/>
      <c r="I1027" s="148"/>
      <c r="J1027" s="148"/>
      <c r="K1027" s="148"/>
      <c r="L1027" s="148"/>
      <c r="M1027" s="148"/>
      <c r="N1027" s="148"/>
      <c r="O1027" s="148"/>
      <c r="P1027" s="148"/>
      <c r="Q1027" s="148"/>
      <c r="R1027" s="148"/>
      <c r="S1027" s="148"/>
      <c r="T1027" s="148"/>
      <c r="U1027" s="148"/>
      <c r="V1027" s="148"/>
      <c r="W1027" s="148"/>
      <c r="X1027" s="148"/>
      <c r="Y1027" s="148"/>
      <c r="Z1027" s="148"/>
    </row>
    <row r="1028" spans="1:26" ht="15.75" customHeight="1" x14ac:dyDescent="0.25">
      <c r="A1028" s="148"/>
      <c r="B1028" s="148"/>
      <c r="C1028" s="148"/>
      <c r="D1028" s="148"/>
      <c r="E1028" s="148"/>
      <c r="F1028" s="148"/>
      <c r="G1028" s="148"/>
      <c r="H1028" s="148"/>
      <c r="I1028" s="148"/>
      <c r="J1028" s="148"/>
      <c r="K1028" s="148"/>
      <c r="L1028" s="148"/>
      <c r="M1028" s="148"/>
      <c r="N1028" s="148"/>
      <c r="O1028" s="148"/>
      <c r="P1028" s="148"/>
      <c r="Q1028" s="148"/>
      <c r="R1028" s="148"/>
      <c r="S1028" s="148"/>
      <c r="T1028" s="148"/>
      <c r="U1028" s="148"/>
      <c r="V1028" s="148"/>
      <c r="W1028" s="148"/>
      <c r="X1028" s="148"/>
      <c r="Y1028" s="148"/>
      <c r="Z1028" s="148"/>
    </row>
    <row r="1029" spans="1:26" ht="15.75" customHeight="1" x14ac:dyDescent="0.25">
      <c r="A1029" s="148"/>
      <c r="B1029" s="148"/>
      <c r="C1029" s="148"/>
      <c r="D1029" s="148"/>
      <c r="E1029" s="148"/>
      <c r="F1029" s="148"/>
      <c r="G1029" s="148"/>
      <c r="H1029" s="148"/>
      <c r="I1029" s="148"/>
      <c r="J1029" s="148"/>
      <c r="K1029" s="148"/>
      <c r="L1029" s="148"/>
      <c r="M1029" s="148"/>
      <c r="N1029" s="148"/>
      <c r="O1029" s="148"/>
      <c r="P1029" s="148"/>
      <c r="Q1029" s="148"/>
      <c r="R1029" s="148"/>
      <c r="S1029" s="148"/>
      <c r="T1029" s="148"/>
      <c r="U1029" s="148"/>
      <c r="V1029" s="148"/>
      <c r="W1029" s="148"/>
      <c r="X1029" s="148"/>
      <c r="Y1029" s="148"/>
      <c r="Z1029" s="148"/>
    </row>
    <row r="1030" spans="1:26" ht="15.75" customHeight="1" x14ac:dyDescent="0.25">
      <c r="A1030" s="148"/>
      <c r="B1030" s="148"/>
      <c r="C1030" s="148"/>
      <c r="D1030" s="148"/>
      <c r="E1030" s="148"/>
      <c r="F1030" s="148"/>
      <c r="G1030" s="148"/>
      <c r="H1030" s="148"/>
      <c r="I1030" s="148"/>
      <c r="J1030" s="148"/>
      <c r="K1030" s="148"/>
      <c r="L1030" s="148"/>
      <c r="M1030" s="148"/>
      <c r="N1030" s="148"/>
      <c r="O1030" s="148"/>
      <c r="P1030" s="148"/>
      <c r="Q1030" s="148"/>
      <c r="R1030" s="148"/>
      <c r="S1030" s="148"/>
      <c r="T1030" s="148"/>
      <c r="U1030" s="148"/>
      <c r="V1030" s="148"/>
      <c r="W1030" s="148"/>
      <c r="X1030" s="148"/>
      <c r="Y1030" s="148"/>
      <c r="Z1030" s="148"/>
    </row>
    <row r="1031" spans="1:26" ht="15.75" customHeight="1" x14ac:dyDescent="0.25">
      <c r="A1031" s="148"/>
      <c r="B1031" s="148"/>
      <c r="C1031" s="148"/>
      <c r="D1031" s="148"/>
      <c r="E1031" s="148"/>
      <c r="F1031" s="148"/>
      <c r="G1031" s="148"/>
      <c r="H1031" s="148"/>
      <c r="I1031" s="148"/>
      <c r="J1031" s="148"/>
      <c r="K1031" s="148"/>
      <c r="L1031" s="148"/>
      <c r="M1031" s="148"/>
      <c r="N1031" s="148"/>
      <c r="O1031" s="148"/>
      <c r="P1031" s="148"/>
      <c r="Q1031" s="148"/>
      <c r="R1031" s="148"/>
      <c r="S1031" s="148"/>
      <c r="T1031" s="148"/>
      <c r="U1031" s="148"/>
      <c r="V1031" s="148"/>
      <c r="W1031" s="148"/>
      <c r="X1031" s="148"/>
      <c r="Y1031" s="148"/>
      <c r="Z1031" s="148"/>
    </row>
    <row r="1032" spans="1:26" ht="15.75" customHeight="1" x14ac:dyDescent="0.25">
      <c r="A1032" s="148"/>
      <c r="B1032" s="148"/>
      <c r="C1032" s="148"/>
      <c r="D1032" s="148"/>
      <c r="E1032" s="148"/>
      <c r="F1032" s="148"/>
      <c r="G1032" s="148"/>
      <c r="H1032" s="148"/>
      <c r="I1032" s="148"/>
      <c r="J1032" s="148"/>
      <c r="K1032" s="148"/>
      <c r="L1032" s="148"/>
      <c r="M1032" s="148"/>
      <c r="N1032" s="148"/>
      <c r="O1032" s="148"/>
      <c r="P1032" s="148"/>
      <c r="Q1032" s="148"/>
      <c r="R1032" s="148"/>
      <c r="S1032" s="148"/>
      <c r="T1032" s="148"/>
      <c r="U1032" s="148"/>
      <c r="V1032" s="148"/>
      <c r="W1032" s="148"/>
      <c r="X1032" s="148"/>
      <c r="Y1032" s="148"/>
      <c r="Z1032" s="148"/>
    </row>
    <row r="1033" spans="1:26" ht="15.75" customHeight="1" x14ac:dyDescent="0.25">
      <c r="A1033" s="148"/>
      <c r="B1033" s="148"/>
      <c r="C1033" s="148"/>
      <c r="D1033" s="148"/>
      <c r="E1033" s="148"/>
      <c r="F1033" s="148"/>
      <c r="G1033" s="148"/>
      <c r="H1033" s="148"/>
      <c r="I1033" s="148"/>
      <c r="J1033" s="148"/>
      <c r="K1033" s="148"/>
      <c r="L1033" s="148"/>
      <c r="M1033" s="148"/>
      <c r="N1033" s="148"/>
      <c r="O1033" s="148"/>
      <c r="P1033" s="148"/>
      <c r="Q1033" s="148"/>
      <c r="R1033" s="148"/>
      <c r="S1033" s="148"/>
      <c r="T1033" s="148"/>
      <c r="U1033" s="148"/>
      <c r="V1033" s="148"/>
      <c r="W1033" s="148"/>
      <c r="X1033" s="148"/>
      <c r="Y1033" s="148"/>
      <c r="Z1033" s="148"/>
    </row>
    <row r="1034" spans="1:26" ht="15.75" customHeight="1" x14ac:dyDescent="0.25">
      <c r="A1034" s="148"/>
      <c r="B1034" s="148"/>
      <c r="C1034" s="148"/>
      <c r="D1034" s="148"/>
      <c r="E1034" s="148"/>
      <c r="F1034" s="148"/>
      <c r="G1034" s="148"/>
      <c r="H1034" s="148"/>
      <c r="I1034" s="148"/>
      <c r="J1034" s="148"/>
      <c r="K1034" s="148"/>
      <c r="L1034" s="148"/>
      <c r="M1034" s="148"/>
      <c r="N1034" s="148"/>
      <c r="O1034" s="148"/>
      <c r="P1034" s="148"/>
      <c r="Q1034" s="148"/>
      <c r="R1034" s="148"/>
      <c r="S1034" s="148"/>
      <c r="T1034" s="148"/>
      <c r="U1034" s="148"/>
      <c r="V1034" s="148"/>
      <c r="W1034" s="148"/>
      <c r="X1034" s="148"/>
      <c r="Y1034" s="148"/>
      <c r="Z1034" s="148"/>
    </row>
    <row r="1035" spans="1:26" ht="15.75" customHeight="1" x14ac:dyDescent="0.25">
      <c r="A1035" s="148"/>
      <c r="B1035" s="148"/>
      <c r="C1035" s="148"/>
      <c r="D1035" s="148"/>
      <c r="E1035" s="148"/>
      <c r="F1035" s="148"/>
      <c r="G1035" s="148"/>
      <c r="H1035" s="148"/>
      <c r="I1035" s="148"/>
      <c r="J1035" s="148"/>
      <c r="K1035" s="148"/>
      <c r="L1035" s="148"/>
      <c r="M1035" s="148"/>
      <c r="N1035" s="148"/>
      <c r="O1035" s="148"/>
      <c r="P1035" s="148"/>
      <c r="Q1035" s="148"/>
      <c r="R1035" s="148"/>
      <c r="S1035" s="148"/>
      <c r="T1035" s="148"/>
      <c r="U1035" s="148"/>
      <c r="V1035" s="148"/>
      <c r="W1035" s="148"/>
      <c r="X1035" s="148"/>
      <c r="Y1035" s="148"/>
      <c r="Z1035" s="148"/>
    </row>
    <row r="1036" spans="1:26" ht="15.75" customHeight="1" x14ac:dyDescent="0.25">
      <c r="A1036" s="148"/>
      <c r="B1036" s="148"/>
      <c r="C1036" s="148"/>
      <c r="D1036" s="148"/>
      <c r="E1036" s="148"/>
      <c r="F1036" s="148"/>
      <c r="G1036" s="148"/>
      <c r="H1036" s="148"/>
      <c r="I1036" s="148"/>
      <c r="J1036" s="148"/>
      <c r="K1036" s="148"/>
      <c r="L1036" s="148"/>
      <c r="M1036" s="148"/>
      <c r="N1036" s="148"/>
      <c r="O1036" s="148"/>
      <c r="P1036" s="148"/>
      <c r="Q1036" s="148"/>
      <c r="R1036" s="148"/>
      <c r="S1036" s="148"/>
      <c r="T1036" s="148"/>
      <c r="U1036" s="148"/>
      <c r="V1036" s="148"/>
      <c r="W1036" s="148"/>
      <c r="X1036" s="148"/>
      <c r="Y1036" s="148"/>
      <c r="Z1036" s="148"/>
    </row>
    <row r="1037" spans="1:26" ht="15.75" customHeight="1" x14ac:dyDescent="0.25">
      <c r="A1037" s="148"/>
      <c r="B1037" s="148"/>
      <c r="C1037" s="148"/>
      <c r="D1037" s="148"/>
      <c r="E1037" s="148"/>
      <c r="F1037" s="148"/>
      <c r="G1037" s="148"/>
      <c r="H1037" s="148"/>
      <c r="I1037" s="148"/>
      <c r="J1037" s="148"/>
      <c r="K1037" s="148"/>
      <c r="L1037" s="148"/>
      <c r="M1037" s="148"/>
      <c r="N1037" s="148"/>
      <c r="O1037" s="148"/>
      <c r="P1037" s="148"/>
      <c r="Q1037" s="148"/>
      <c r="R1037" s="148"/>
      <c r="S1037" s="148"/>
      <c r="T1037" s="148"/>
      <c r="U1037" s="148"/>
      <c r="V1037" s="148"/>
      <c r="W1037" s="148"/>
      <c r="X1037" s="148"/>
      <c r="Y1037" s="148"/>
      <c r="Z1037" s="148"/>
    </row>
    <row r="1038" spans="1:26" ht="15.75" customHeight="1" x14ac:dyDescent="0.25">
      <c r="A1038" s="148"/>
      <c r="B1038" s="148"/>
      <c r="C1038" s="148"/>
      <c r="D1038" s="148"/>
      <c r="E1038" s="148"/>
      <c r="F1038" s="148"/>
      <c r="G1038" s="148"/>
      <c r="H1038" s="148"/>
      <c r="I1038" s="148"/>
      <c r="J1038" s="148"/>
      <c r="K1038" s="148"/>
      <c r="L1038" s="148"/>
      <c r="M1038" s="148"/>
      <c r="N1038" s="148"/>
      <c r="O1038" s="148"/>
      <c r="P1038" s="148"/>
      <c r="Q1038" s="148"/>
      <c r="R1038" s="148"/>
      <c r="S1038" s="148"/>
      <c r="T1038" s="148"/>
      <c r="U1038" s="148"/>
      <c r="V1038" s="148"/>
      <c r="W1038" s="148"/>
      <c r="X1038" s="148"/>
      <c r="Y1038" s="148"/>
      <c r="Z1038" s="148"/>
    </row>
    <row r="1039" spans="1:26" ht="15.75" customHeight="1" x14ac:dyDescent="0.25">
      <c r="A1039" s="148"/>
      <c r="B1039" s="148"/>
      <c r="C1039" s="148"/>
      <c r="D1039" s="148"/>
      <c r="E1039" s="148"/>
      <c r="F1039" s="148"/>
      <c r="G1039" s="148"/>
      <c r="H1039" s="148"/>
      <c r="I1039" s="148"/>
      <c r="J1039" s="148"/>
      <c r="K1039" s="148"/>
      <c r="L1039" s="148"/>
      <c r="M1039" s="148"/>
      <c r="N1039" s="148"/>
      <c r="O1039" s="148"/>
      <c r="P1039" s="148"/>
      <c r="Q1039" s="148"/>
      <c r="R1039" s="148"/>
      <c r="S1039" s="148"/>
      <c r="T1039" s="148"/>
      <c r="U1039" s="148"/>
      <c r="V1039" s="148"/>
      <c r="W1039" s="148"/>
      <c r="X1039" s="148"/>
      <c r="Y1039" s="148"/>
      <c r="Z1039" s="148"/>
    </row>
    <row r="1040" spans="1:26" ht="15.75" customHeight="1" x14ac:dyDescent="0.25">
      <c r="A1040" s="148"/>
      <c r="B1040" s="148"/>
      <c r="C1040" s="148"/>
      <c r="D1040" s="148"/>
      <c r="E1040" s="148"/>
      <c r="F1040" s="148"/>
      <c r="G1040" s="148"/>
      <c r="H1040" s="148"/>
      <c r="I1040" s="148"/>
      <c r="J1040" s="148"/>
      <c r="K1040" s="148"/>
      <c r="L1040" s="148"/>
      <c r="M1040" s="148"/>
      <c r="N1040" s="148"/>
      <c r="O1040" s="148"/>
      <c r="P1040" s="148"/>
      <c r="Q1040" s="148"/>
      <c r="R1040" s="148"/>
      <c r="S1040" s="148"/>
      <c r="T1040" s="148"/>
      <c r="U1040" s="148"/>
      <c r="V1040" s="148"/>
      <c r="W1040" s="148"/>
      <c r="X1040" s="148"/>
      <c r="Y1040" s="148"/>
      <c r="Z1040" s="148"/>
    </row>
    <row r="1041" spans="1:26" ht="15.75" customHeight="1" x14ac:dyDescent="0.25">
      <c r="A1041" s="148"/>
      <c r="B1041" s="148"/>
      <c r="C1041" s="148"/>
      <c r="D1041" s="148"/>
      <c r="E1041" s="148"/>
      <c r="F1041" s="148"/>
      <c r="G1041" s="148"/>
      <c r="H1041" s="148"/>
      <c r="I1041" s="148"/>
      <c r="J1041" s="148"/>
      <c r="K1041" s="148"/>
      <c r="L1041" s="148"/>
      <c r="M1041" s="148"/>
      <c r="N1041" s="148"/>
      <c r="O1041" s="148"/>
      <c r="P1041" s="148"/>
      <c r="Q1041" s="148"/>
      <c r="R1041" s="148"/>
      <c r="S1041" s="148"/>
      <c r="T1041" s="148"/>
      <c r="U1041" s="148"/>
      <c r="V1041" s="148"/>
      <c r="W1041" s="148"/>
      <c r="X1041" s="148"/>
      <c r="Y1041" s="148"/>
      <c r="Z1041" s="148"/>
    </row>
    <row r="1042" spans="1:26" ht="15.75" customHeight="1" x14ac:dyDescent="0.25">
      <c r="A1042" s="148"/>
      <c r="B1042" s="148"/>
      <c r="C1042" s="148"/>
      <c r="D1042" s="148"/>
      <c r="E1042" s="148"/>
      <c r="F1042" s="148"/>
      <c r="G1042" s="148"/>
      <c r="H1042" s="148"/>
      <c r="I1042" s="148"/>
      <c r="J1042" s="148"/>
      <c r="K1042" s="148"/>
      <c r="L1042" s="148"/>
      <c r="M1042" s="148"/>
      <c r="N1042" s="148"/>
      <c r="O1042" s="148"/>
      <c r="P1042" s="148"/>
      <c r="Q1042" s="148"/>
      <c r="R1042" s="148"/>
      <c r="S1042" s="148"/>
      <c r="T1042" s="148"/>
      <c r="U1042" s="148"/>
      <c r="V1042" s="148"/>
      <c r="W1042" s="148"/>
      <c r="X1042" s="148"/>
      <c r="Y1042" s="148"/>
      <c r="Z1042" s="148"/>
    </row>
    <row r="1043" spans="1:26" ht="15.75" customHeight="1" x14ac:dyDescent="0.25">
      <c r="A1043" s="148"/>
      <c r="B1043" s="148"/>
      <c r="C1043" s="148"/>
      <c r="D1043" s="148"/>
      <c r="E1043" s="148"/>
      <c r="F1043" s="148"/>
      <c r="G1043" s="148"/>
      <c r="H1043" s="148"/>
      <c r="I1043" s="148"/>
      <c r="J1043" s="148"/>
      <c r="K1043" s="148"/>
      <c r="L1043" s="148"/>
      <c r="M1043" s="148"/>
      <c r="N1043" s="148"/>
      <c r="O1043" s="148"/>
      <c r="P1043" s="148"/>
      <c r="Q1043" s="148"/>
      <c r="R1043" s="148"/>
      <c r="S1043" s="148"/>
      <c r="T1043" s="148"/>
      <c r="U1043" s="148"/>
      <c r="V1043" s="148"/>
      <c r="W1043" s="148"/>
      <c r="X1043" s="148"/>
      <c r="Y1043" s="148"/>
      <c r="Z1043" s="148"/>
    </row>
    <row r="1044" spans="1:26" ht="15.75" customHeight="1" x14ac:dyDescent="0.25">
      <c r="A1044" s="148"/>
      <c r="B1044" s="148"/>
      <c r="C1044" s="148"/>
      <c r="D1044" s="148"/>
      <c r="E1044" s="148"/>
      <c r="F1044" s="148"/>
      <c r="G1044" s="148"/>
      <c r="H1044" s="148"/>
      <c r="I1044" s="148"/>
      <c r="J1044" s="148"/>
      <c r="K1044" s="148"/>
      <c r="L1044" s="148"/>
      <c r="M1044" s="148"/>
      <c r="N1044" s="148"/>
      <c r="O1044" s="148"/>
      <c r="P1044" s="148"/>
      <c r="Q1044" s="148"/>
      <c r="R1044" s="148"/>
      <c r="S1044" s="148"/>
      <c r="T1044" s="148"/>
      <c r="U1044" s="148"/>
      <c r="V1044" s="148"/>
      <c r="W1044" s="148"/>
      <c r="X1044" s="148"/>
      <c r="Y1044" s="148"/>
      <c r="Z1044" s="148"/>
    </row>
    <row r="1045" spans="1:26" ht="15.75" customHeight="1" x14ac:dyDescent="0.25">
      <c r="A1045" s="148"/>
      <c r="B1045" s="148"/>
      <c r="C1045" s="148"/>
      <c r="D1045" s="148"/>
      <c r="E1045" s="148"/>
      <c r="F1045" s="148"/>
      <c r="G1045" s="148"/>
      <c r="H1045" s="148"/>
      <c r="I1045" s="148"/>
      <c r="J1045" s="148"/>
      <c r="K1045" s="148"/>
      <c r="L1045" s="148"/>
      <c r="M1045" s="148"/>
      <c r="N1045" s="148"/>
      <c r="O1045" s="148"/>
      <c r="P1045" s="148"/>
      <c r="Q1045" s="148"/>
      <c r="R1045" s="148"/>
      <c r="S1045" s="148"/>
      <c r="T1045" s="148"/>
      <c r="U1045" s="148"/>
      <c r="V1045" s="148"/>
      <c r="W1045" s="148"/>
      <c r="X1045" s="148"/>
      <c r="Y1045" s="148"/>
      <c r="Z1045" s="148"/>
    </row>
    <row r="1046" spans="1:26" ht="15.75" customHeight="1" x14ac:dyDescent="0.25">
      <c r="A1046" s="148"/>
      <c r="B1046" s="148"/>
      <c r="C1046" s="148"/>
      <c r="D1046" s="148"/>
      <c r="E1046" s="148"/>
      <c r="F1046" s="148"/>
      <c r="G1046" s="148"/>
      <c r="H1046" s="148"/>
      <c r="I1046" s="148"/>
      <c r="J1046" s="148"/>
      <c r="K1046" s="148"/>
      <c r="L1046" s="148"/>
      <c r="M1046" s="148"/>
      <c r="N1046" s="148"/>
      <c r="O1046" s="148"/>
      <c r="P1046" s="148"/>
      <c r="Q1046" s="148"/>
      <c r="R1046" s="148"/>
      <c r="S1046" s="148"/>
      <c r="T1046" s="148"/>
      <c r="U1046" s="148"/>
      <c r="V1046" s="148"/>
      <c r="W1046" s="148"/>
      <c r="X1046" s="148"/>
      <c r="Y1046" s="148"/>
      <c r="Z1046" s="148"/>
    </row>
    <row r="1047" spans="1:26" ht="15.75" customHeight="1" x14ac:dyDescent="0.25">
      <c r="A1047" s="148"/>
      <c r="B1047" s="148"/>
      <c r="C1047" s="148"/>
      <c r="D1047" s="148"/>
      <c r="E1047" s="148"/>
      <c r="F1047" s="148"/>
      <c r="G1047" s="148"/>
      <c r="H1047" s="148"/>
      <c r="I1047" s="148"/>
      <c r="J1047" s="148"/>
      <c r="K1047" s="148"/>
      <c r="L1047" s="148"/>
      <c r="M1047" s="148"/>
      <c r="N1047" s="148"/>
      <c r="O1047" s="148"/>
      <c r="P1047" s="148"/>
      <c r="Q1047" s="148"/>
      <c r="R1047" s="148"/>
      <c r="S1047" s="148"/>
      <c r="T1047" s="148"/>
      <c r="U1047" s="148"/>
      <c r="V1047" s="148"/>
      <c r="W1047" s="148"/>
      <c r="X1047" s="148"/>
      <c r="Y1047" s="148"/>
      <c r="Z1047" s="148"/>
    </row>
    <row r="1048" spans="1:26" ht="15.75" customHeight="1" x14ac:dyDescent="0.25">
      <c r="A1048" s="148"/>
      <c r="B1048" s="148"/>
      <c r="C1048" s="148"/>
      <c r="D1048" s="148"/>
      <c r="E1048" s="148"/>
      <c r="F1048" s="148"/>
      <c r="G1048" s="148"/>
      <c r="H1048" s="148"/>
      <c r="I1048" s="148"/>
      <c r="J1048" s="148"/>
      <c r="K1048" s="148"/>
      <c r="L1048" s="148"/>
      <c r="M1048" s="148"/>
      <c r="N1048" s="148"/>
      <c r="O1048" s="148"/>
      <c r="P1048" s="148"/>
      <c r="Q1048" s="148"/>
      <c r="R1048" s="148"/>
      <c r="S1048" s="148"/>
      <c r="T1048" s="148"/>
      <c r="U1048" s="148"/>
      <c r="V1048" s="148"/>
      <c r="W1048" s="148"/>
      <c r="X1048" s="148"/>
      <c r="Y1048" s="148"/>
      <c r="Z1048" s="148"/>
    </row>
    <row r="1049" spans="1:26" ht="15.75" customHeight="1" x14ac:dyDescent="0.25">
      <c r="A1049" s="148"/>
      <c r="B1049" s="148"/>
      <c r="C1049" s="148"/>
      <c r="D1049" s="148"/>
      <c r="E1049" s="148"/>
      <c r="F1049" s="148"/>
      <c r="G1049" s="148"/>
      <c r="H1049" s="148"/>
      <c r="I1049" s="148"/>
      <c r="J1049" s="148"/>
      <c r="K1049" s="148"/>
      <c r="L1049" s="148"/>
      <c r="M1049" s="148"/>
      <c r="N1049" s="148"/>
      <c r="O1049" s="148"/>
      <c r="P1049" s="148"/>
      <c r="Q1049" s="148"/>
      <c r="R1049" s="148"/>
      <c r="S1049" s="148"/>
      <c r="T1049" s="148"/>
      <c r="U1049" s="148"/>
      <c r="V1049" s="148"/>
      <c r="W1049" s="148"/>
      <c r="X1049" s="148"/>
      <c r="Y1049" s="148"/>
      <c r="Z1049" s="148"/>
    </row>
    <row r="1050" spans="1:26" ht="15.75" customHeight="1" x14ac:dyDescent="0.25">
      <c r="A1050" s="148"/>
      <c r="B1050" s="148"/>
      <c r="C1050" s="148"/>
      <c r="D1050" s="148"/>
      <c r="E1050" s="148"/>
      <c r="F1050" s="148"/>
      <c r="G1050" s="148"/>
      <c r="H1050" s="148"/>
      <c r="I1050" s="148"/>
      <c r="J1050" s="148"/>
      <c r="K1050" s="148"/>
      <c r="L1050" s="148"/>
      <c r="M1050" s="148"/>
      <c r="N1050" s="148"/>
      <c r="O1050" s="148"/>
      <c r="P1050" s="148"/>
      <c r="Q1050" s="148"/>
      <c r="R1050" s="148"/>
      <c r="S1050" s="148"/>
      <c r="T1050" s="148"/>
      <c r="U1050" s="148"/>
      <c r="V1050" s="148"/>
      <c r="W1050" s="148"/>
      <c r="X1050" s="148"/>
      <c r="Y1050" s="148"/>
      <c r="Z1050" s="148"/>
    </row>
    <row r="1051" spans="1:26" ht="15.75" customHeight="1" x14ac:dyDescent="0.25">
      <c r="A1051" s="148"/>
      <c r="B1051" s="148"/>
      <c r="C1051" s="148"/>
      <c r="D1051" s="148"/>
      <c r="E1051" s="148"/>
      <c r="F1051" s="148"/>
      <c r="G1051" s="148"/>
      <c r="H1051" s="148"/>
      <c r="I1051" s="148"/>
      <c r="J1051" s="148"/>
      <c r="K1051" s="148"/>
      <c r="L1051" s="148"/>
      <c r="M1051" s="148"/>
      <c r="N1051" s="148"/>
      <c r="O1051" s="148"/>
      <c r="P1051" s="148"/>
      <c r="Q1051" s="148"/>
      <c r="R1051" s="148"/>
      <c r="S1051" s="148"/>
      <c r="T1051" s="148"/>
      <c r="U1051" s="148"/>
      <c r="V1051" s="148"/>
      <c r="W1051" s="148"/>
      <c r="X1051" s="148"/>
      <c r="Y1051" s="148"/>
      <c r="Z1051" s="148"/>
    </row>
    <row r="1052" spans="1:26" ht="15.75" customHeight="1" x14ac:dyDescent="0.25">
      <c r="A1052" s="148"/>
      <c r="B1052" s="148"/>
      <c r="C1052" s="148"/>
      <c r="D1052" s="148"/>
      <c r="E1052" s="148"/>
      <c r="F1052" s="148"/>
      <c r="G1052" s="148"/>
      <c r="H1052" s="148"/>
      <c r="I1052" s="148"/>
      <c r="J1052" s="148"/>
      <c r="K1052" s="148"/>
      <c r="L1052" s="148"/>
      <c r="M1052" s="148"/>
      <c r="N1052" s="148"/>
      <c r="O1052" s="148"/>
      <c r="P1052" s="148"/>
      <c r="Q1052" s="148"/>
      <c r="R1052" s="148"/>
      <c r="S1052" s="148"/>
      <c r="T1052" s="148"/>
      <c r="U1052" s="148"/>
      <c r="V1052" s="148"/>
      <c r="W1052" s="148"/>
      <c r="X1052" s="148"/>
      <c r="Y1052" s="148"/>
      <c r="Z1052" s="148"/>
    </row>
    <row r="1053" spans="1:26" ht="15.75" customHeight="1" x14ac:dyDescent="0.25">
      <c r="A1053" s="148"/>
      <c r="B1053" s="148"/>
      <c r="C1053" s="148"/>
      <c r="D1053" s="148"/>
      <c r="E1053" s="148"/>
      <c r="F1053" s="148"/>
      <c r="G1053" s="148"/>
      <c r="H1053" s="148"/>
      <c r="I1053" s="148"/>
      <c r="J1053" s="148"/>
      <c r="K1053" s="148"/>
      <c r="L1053" s="148"/>
      <c r="M1053" s="148"/>
      <c r="N1053" s="148"/>
      <c r="O1053" s="148"/>
      <c r="P1053" s="148"/>
      <c r="Q1053" s="148"/>
      <c r="R1053" s="148"/>
      <c r="S1053" s="148"/>
      <c r="T1053" s="148"/>
      <c r="U1053" s="148"/>
      <c r="V1053" s="148"/>
      <c r="W1053" s="148"/>
      <c r="X1053" s="148"/>
      <c r="Y1053" s="148"/>
      <c r="Z1053" s="148"/>
    </row>
    <row r="1054" spans="1:26" ht="15.75" customHeight="1" x14ac:dyDescent="0.25">
      <c r="A1054" s="148"/>
      <c r="B1054" s="148"/>
      <c r="C1054" s="148"/>
      <c r="D1054" s="148"/>
      <c r="E1054" s="148"/>
      <c r="F1054" s="148"/>
      <c r="G1054" s="148"/>
      <c r="H1054" s="148"/>
      <c r="I1054" s="148"/>
      <c r="J1054" s="148"/>
      <c r="K1054" s="148"/>
      <c r="L1054" s="148"/>
      <c r="M1054" s="148"/>
      <c r="N1054" s="148"/>
      <c r="O1054" s="148"/>
      <c r="P1054" s="148"/>
      <c r="Q1054" s="148"/>
      <c r="R1054" s="148"/>
      <c r="S1054" s="148"/>
      <c r="T1054" s="148"/>
      <c r="U1054" s="148"/>
      <c r="V1054" s="148"/>
      <c r="W1054" s="148"/>
      <c r="X1054" s="148"/>
      <c r="Y1054" s="148"/>
      <c r="Z1054" s="148"/>
    </row>
    <row r="1055" spans="1:26" ht="15.75" customHeight="1" x14ac:dyDescent="0.25">
      <c r="A1055" s="148"/>
      <c r="B1055" s="148"/>
      <c r="C1055" s="148"/>
      <c r="D1055" s="148"/>
      <c r="E1055" s="148"/>
      <c r="F1055" s="148"/>
      <c r="G1055" s="148"/>
      <c r="H1055" s="148"/>
      <c r="I1055" s="148"/>
      <c r="J1055" s="148"/>
      <c r="K1055" s="148"/>
      <c r="L1055" s="148"/>
      <c r="M1055" s="148"/>
      <c r="N1055" s="148"/>
      <c r="O1055" s="148"/>
      <c r="P1055" s="148"/>
      <c r="Q1055" s="148"/>
      <c r="R1055" s="148"/>
      <c r="S1055" s="148"/>
      <c r="T1055" s="148"/>
      <c r="U1055" s="148"/>
      <c r="V1055" s="148"/>
      <c r="W1055" s="148"/>
      <c r="X1055" s="148"/>
      <c r="Y1055" s="148"/>
      <c r="Z1055" s="148"/>
    </row>
    <row r="1056" spans="1:26" ht="15.75" customHeight="1" x14ac:dyDescent="0.25">
      <c r="A1056" s="148"/>
      <c r="B1056" s="148"/>
      <c r="C1056" s="148"/>
      <c r="D1056" s="148"/>
      <c r="E1056" s="148"/>
      <c r="F1056" s="148"/>
      <c r="G1056" s="148"/>
      <c r="H1056" s="148"/>
      <c r="I1056" s="148"/>
      <c r="J1056" s="148"/>
      <c r="K1056" s="148"/>
      <c r="L1056" s="148"/>
      <c r="M1056" s="148"/>
      <c r="N1056" s="148"/>
      <c r="O1056" s="148"/>
      <c r="P1056" s="148"/>
      <c r="Q1056" s="148"/>
      <c r="R1056" s="148"/>
      <c r="S1056" s="148"/>
      <c r="T1056" s="148"/>
      <c r="U1056" s="148"/>
      <c r="V1056" s="148"/>
      <c r="W1056" s="148"/>
      <c r="X1056" s="148"/>
      <c r="Y1056" s="148"/>
      <c r="Z1056" s="148"/>
    </row>
    <row r="1057" spans="1:26" ht="15.75" customHeight="1" x14ac:dyDescent="0.25">
      <c r="A1057" s="148"/>
      <c r="B1057" s="148"/>
      <c r="C1057" s="148"/>
      <c r="D1057" s="148"/>
      <c r="E1057" s="148"/>
      <c r="F1057" s="148"/>
      <c r="G1057" s="148"/>
      <c r="H1057" s="148"/>
      <c r="I1057" s="148"/>
      <c r="J1057" s="148"/>
      <c r="K1057" s="148"/>
      <c r="L1057" s="148"/>
      <c r="M1057" s="148"/>
      <c r="N1057" s="148"/>
      <c r="O1057" s="148"/>
      <c r="P1057" s="148"/>
      <c r="Q1057" s="148"/>
      <c r="R1057" s="148"/>
      <c r="S1057" s="148"/>
      <c r="T1057" s="148"/>
      <c r="U1057" s="148"/>
      <c r="V1057" s="148"/>
      <c r="W1057" s="148"/>
      <c r="X1057" s="148"/>
      <c r="Y1057" s="148"/>
      <c r="Z1057" s="148"/>
    </row>
    <row r="1058" spans="1:26" ht="15.75" customHeight="1" x14ac:dyDescent="0.25">
      <c r="A1058" s="148"/>
      <c r="B1058" s="148"/>
      <c r="C1058" s="148"/>
      <c r="D1058" s="148"/>
      <c r="E1058" s="148"/>
      <c r="F1058" s="148"/>
      <c r="G1058" s="148"/>
      <c r="H1058" s="148"/>
      <c r="I1058" s="148"/>
      <c r="J1058" s="148"/>
      <c r="K1058" s="148"/>
      <c r="L1058" s="148"/>
      <c r="M1058" s="148"/>
      <c r="N1058" s="148"/>
      <c r="O1058" s="148"/>
      <c r="P1058" s="148"/>
      <c r="Q1058" s="148"/>
      <c r="R1058" s="148"/>
      <c r="S1058" s="148"/>
      <c r="T1058" s="148"/>
      <c r="U1058" s="148"/>
      <c r="V1058" s="148"/>
      <c r="W1058" s="148"/>
      <c r="X1058" s="148"/>
      <c r="Y1058" s="148"/>
      <c r="Z1058" s="148"/>
    </row>
    <row r="1059" spans="1:26" ht="15.75" customHeight="1" x14ac:dyDescent="0.25">
      <c r="A1059" s="148"/>
      <c r="B1059" s="148"/>
      <c r="C1059" s="148"/>
      <c r="D1059" s="148"/>
      <c r="E1059" s="148"/>
      <c r="F1059" s="148"/>
      <c r="G1059" s="148"/>
      <c r="H1059" s="148"/>
      <c r="I1059" s="148"/>
      <c r="J1059" s="148"/>
      <c r="K1059" s="148"/>
      <c r="L1059" s="148"/>
      <c r="M1059" s="148"/>
      <c r="N1059" s="148"/>
      <c r="O1059" s="148"/>
      <c r="P1059" s="148"/>
      <c r="Q1059" s="148"/>
      <c r="R1059" s="148"/>
      <c r="S1059" s="148"/>
      <c r="T1059" s="148"/>
      <c r="U1059" s="148"/>
      <c r="V1059" s="148"/>
      <c r="W1059" s="148"/>
      <c r="X1059" s="148"/>
      <c r="Y1059" s="148"/>
      <c r="Z1059" s="148"/>
    </row>
    <row r="1060" spans="1:26" ht="15.75" customHeight="1" x14ac:dyDescent="0.25">
      <c r="A1060" s="148"/>
      <c r="B1060" s="148"/>
      <c r="C1060" s="148"/>
      <c r="D1060" s="148"/>
      <c r="E1060" s="148"/>
      <c r="F1060" s="148"/>
      <c r="G1060" s="148"/>
      <c r="H1060" s="148"/>
      <c r="I1060" s="148"/>
      <c r="J1060" s="148"/>
      <c r="K1060" s="148"/>
      <c r="L1060" s="148"/>
      <c r="M1060" s="148"/>
      <c r="N1060" s="148"/>
      <c r="O1060" s="148"/>
      <c r="P1060" s="148"/>
      <c r="Q1060" s="148"/>
      <c r="R1060" s="148"/>
      <c r="S1060" s="148"/>
      <c r="T1060" s="148"/>
      <c r="U1060" s="148"/>
      <c r="V1060" s="148"/>
      <c r="W1060" s="148"/>
      <c r="X1060" s="148"/>
      <c r="Y1060" s="148"/>
      <c r="Z1060" s="148"/>
    </row>
    <row r="1061" spans="1:26" ht="15.75" customHeight="1" x14ac:dyDescent="0.25">
      <c r="A1061" s="148"/>
      <c r="B1061" s="148"/>
      <c r="C1061" s="148"/>
      <c r="D1061" s="148"/>
      <c r="E1061" s="148"/>
      <c r="F1061" s="148"/>
      <c r="G1061" s="148"/>
      <c r="H1061" s="148"/>
      <c r="I1061" s="148"/>
      <c r="J1061" s="148"/>
      <c r="K1061" s="148"/>
      <c r="L1061" s="148"/>
      <c r="M1061" s="148"/>
      <c r="N1061" s="148"/>
      <c r="O1061" s="148"/>
      <c r="P1061" s="148"/>
      <c r="Q1061" s="148"/>
      <c r="R1061" s="148"/>
      <c r="S1061" s="148"/>
      <c r="T1061" s="148"/>
      <c r="U1061" s="148"/>
      <c r="V1061" s="148"/>
      <c r="W1061" s="148"/>
      <c r="X1061" s="148"/>
      <c r="Y1061" s="148"/>
      <c r="Z1061" s="148"/>
    </row>
    <row r="1062" spans="1:26" ht="15.75" customHeight="1" x14ac:dyDescent="0.25">
      <c r="A1062" s="148"/>
      <c r="B1062" s="148"/>
      <c r="C1062" s="148"/>
      <c r="D1062" s="148"/>
      <c r="E1062" s="148"/>
      <c r="F1062" s="148"/>
      <c r="G1062" s="148"/>
      <c r="H1062" s="148"/>
      <c r="I1062" s="148"/>
      <c r="J1062" s="148"/>
      <c r="K1062" s="148"/>
      <c r="L1062" s="148"/>
      <c r="M1062" s="148"/>
      <c r="N1062" s="148"/>
      <c r="O1062" s="148"/>
      <c r="P1062" s="148"/>
      <c r="Q1062" s="148"/>
      <c r="R1062" s="148"/>
      <c r="S1062" s="148"/>
      <c r="T1062" s="148"/>
      <c r="U1062" s="148"/>
      <c r="V1062" s="148"/>
      <c r="W1062" s="148"/>
      <c r="X1062" s="148"/>
      <c r="Y1062" s="148"/>
      <c r="Z1062" s="148"/>
    </row>
    <row r="1063" spans="1:26" ht="15.75" customHeight="1" x14ac:dyDescent="0.25">
      <c r="A1063" s="148"/>
      <c r="B1063" s="148"/>
      <c r="C1063" s="148"/>
      <c r="D1063" s="148"/>
      <c r="E1063" s="148"/>
      <c r="F1063" s="148"/>
      <c r="G1063" s="148"/>
      <c r="H1063" s="148"/>
      <c r="I1063" s="148"/>
      <c r="J1063" s="148"/>
      <c r="K1063" s="148"/>
      <c r="L1063" s="148"/>
      <c r="M1063" s="148"/>
      <c r="N1063" s="148"/>
      <c r="O1063" s="148"/>
      <c r="P1063" s="148"/>
      <c r="Q1063" s="148"/>
      <c r="R1063" s="148"/>
      <c r="S1063" s="148"/>
      <c r="T1063" s="148"/>
      <c r="U1063" s="148"/>
      <c r="V1063" s="148"/>
      <c r="W1063" s="148"/>
      <c r="X1063" s="148"/>
      <c r="Y1063" s="148"/>
      <c r="Z1063" s="148"/>
    </row>
    <row r="1064" spans="1:26" ht="15.75" customHeight="1" x14ac:dyDescent="0.25">
      <c r="A1064" s="148"/>
      <c r="B1064" s="148"/>
      <c r="C1064" s="148"/>
      <c r="D1064" s="148"/>
      <c r="E1064" s="148"/>
      <c r="F1064" s="148"/>
      <c r="G1064" s="148"/>
      <c r="H1064" s="148"/>
      <c r="I1064" s="148"/>
      <c r="J1064" s="148"/>
      <c r="K1064" s="148"/>
      <c r="L1064" s="148"/>
      <c r="M1064" s="148"/>
      <c r="N1064" s="148"/>
      <c r="O1064" s="148"/>
      <c r="P1064" s="148"/>
      <c r="Q1064" s="148"/>
      <c r="R1064" s="148"/>
      <c r="S1064" s="148"/>
      <c r="T1064" s="148"/>
      <c r="U1064" s="148"/>
      <c r="V1064" s="148"/>
      <c r="W1064" s="148"/>
      <c r="X1064" s="148"/>
      <c r="Y1064" s="148"/>
      <c r="Z1064" s="148"/>
    </row>
    <row r="1065" spans="1:26" ht="15.75" customHeight="1" x14ac:dyDescent="0.25">
      <c r="A1065" s="148"/>
      <c r="B1065" s="148"/>
      <c r="C1065" s="148"/>
      <c r="D1065" s="148"/>
      <c r="E1065" s="148"/>
      <c r="F1065" s="148"/>
      <c r="G1065" s="148"/>
      <c r="H1065" s="148"/>
      <c r="I1065" s="148"/>
      <c r="J1065" s="148"/>
      <c r="K1065" s="148"/>
      <c r="L1065" s="148"/>
      <c r="M1065" s="148"/>
      <c r="N1065" s="148"/>
      <c r="O1065" s="148"/>
      <c r="P1065" s="148"/>
      <c r="Q1065" s="148"/>
      <c r="R1065" s="148"/>
      <c r="S1065" s="148"/>
      <c r="T1065" s="148"/>
      <c r="U1065" s="148"/>
      <c r="V1065" s="148"/>
      <c r="W1065" s="148"/>
      <c r="X1065" s="148"/>
      <c r="Y1065" s="148"/>
      <c r="Z1065" s="148"/>
    </row>
    <row r="1066" spans="1:26" ht="15.75" customHeight="1" x14ac:dyDescent="0.25">
      <c r="A1066" s="148"/>
      <c r="B1066" s="148"/>
      <c r="C1066" s="148"/>
      <c r="D1066" s="148"/>
      <c r="E1066" s="148"/>
      <c r="F1066" s="148"/>
      <c r="G1066" s="148"/>
      <c r="H1066" s="148"/>
      <c r="I1066" s="148"/>
      <c r="J1066" s="148"/>
      <c r="K1066" s="148"/>
      <c r="L1066" s="148"/>
      <c r="M1066" s="148"/>
      <c r="N1066" s="148"/>
      <c r="O1066" s="148"/>
      <c r="P1066" s="148"/>
      <c r="Q1066" s="148"/>
      <c r="R1066" s="148"/>
      <c r="S1066" s="148"/>
      <c r="T1066" s="148"/>
      <c r="U1066" s="148"/>
      <c r="V1066" s="148"/>
      <c r="W1066" s="148"/>
      <c r="X1066" s="148"/>
      <c r="Y1066" s="148"/>
      <c r="Z1066" s="148"/>
    </row>
    <row r="1067" spans="1:26" ht="15.75" customHeight="1" x14ac:dyDescent="0.25">
      <c r="A1067" s="148"/>
      <c r="B1067" s="148"/>
      <c r="C1067" s="148"/>
      <c r="D1067" s="148"/>
      <c r="E1067" s="148"/>
      <c r="F1067" s="148"/>
      <c r="G1067" s="148"/>
      <c r="H1067" s="148"/>
      <c r="I1067" s="148"/>
      <c r="J1067" s="148"/>
      <c r="K1067" s="148"/>
      <c r="L1067" s="148"/>
      <c r="M1067" s="148"/>
      <c r="N1067" s="148"/>
      <c r="O1067" s="148"/>
      <c r="P1067" s="148"/>
      <c r="Q1067" s="148"/>
      <c r="R1067" s="148"/>
      <c r="S1067" s="148"/>
      <c r="T1067" s="148"/>
      <c r="U1067" s="148"/>
      <c r="V1067" s="148"/>
      <c r="W1067" s="148"/>
      <c r="X1067" s="148"/>
      <c r="Y1067" s="148"/>
      <c r="Z1067" s="148"/>
    </row>
    <row r="1068" spans="1:26" ht="15.75" customHeight="1" x14ac:dyDescent="0.25">
      <c r="A1068" s="148"/>
      <c r="B1068" s="148"/>
      <c r="C1068" s="148"/>
      <c r="D1068" s="148"/>
      <c r="E1068" s="148"/>
      <c r="F1068" s="148"/>
      <c r="G1068" s="148"/>
      <c r="H1068" s="148"/>
      <c r="I1068" s="148"/>
      <c r="J1068" s="148"/>
      <c r="K1068" s="148"/>
      <c r="L1068" s="148"/>
      <c r="M1068" s="148"/>
      <c r="N1068" s="148"/>
      <c r="O1068" s="148"/>
      <c r="P1068" s="148"/>
      <c r="Q1068" s="148"/>
      <c r="R1068" s="148"/>
      <c r="S1068" s="148"/>
      <c r="T1068" s="148"/>
      <c r="U1068" s="148"/>
      <c r="V1068" s="148"/>
      <c r="W1068" s="148"/>
      <c r="X1068" s="148"/>
      <c r="Y1068" s="148"/>
      <c r="Z1068" s="148"/>
    </row>
    <row r="1069" spans="1:26" ht="15.75" customHeight="1" x14ac:dyDescent="0.25">
      <c r="A1069" s="148"/>
      <c r="B1069" s="148"/>
      <c r="C1069" s="148"/>
      <c r="D1069" s="148"/>
      <c r="E1069" s="148"/>
      <c r="F1069" s="148"/>
      <c r="G1069" s="148"/>
      <c r="H1069" s="148"/>
      <c r="I1069" s="148"/>
      <c r="J1069" s="148"/>
      <c r="K1069" s="148"/>
      <c r="L1069" s="148"/>
      <c r="M1069" s="148"/>
      <c r="N1069" s="148"/>
      <c r="O1069" s="148"/>
      <c r="P1069" s="148"/>
      <c r="Q1069" s="148"/>
      <c r="R1069" s="148"/>
      <c r="S1069" s="148"/>
      <c r="T1069" s="148"/>
      <c r="U1069" s="148"/>
      <c r="V1069" s="148"/>
      <c r="W1069" s="148"/>
      <c r="X1069" s="148"/>
      <c r="Y1069" s="148"/>
      <c r="Z1069" s="148"/>
    </row>
    <row r="1070" spans="1:26" ht="15.75" customHeight="1" x14ac:dyDescent="0.25">
      <c r="A1070" s="148"/>
      <c r="B1070" s="148"/>
      <c r="C1070" s="148"/>
      <c r="D1070" s="148"/>
      <c r="E1070" s="148"/>
      <c r="F1070" s="148"/>
      <c r="G1070" s="148"/>
      <c r="H1070" s="148"/>
      <c r="I1070" s="148"/>
      <c r="J1070" s="148"/>
      <c r="K1070" s="148"/>
      <c r="L1070" s="148"/>
      <c r="M1070" s="148"/>
      <c r="N1070" s="148"/>
      <c r="O1070" s="148"/>
      <c r="P1070" s="148"/>
      <c r="Q1070" s="148"/>
      <c r="R1070" s="148"/>
      <c r="S1070" s="148"/>
      <c r="T1070" s="148"/>
      <c r="U1070" s="148"/>
      <c r="V1070" s="148"/>
      <c r="W1070" s="148"/>
      <c r="X1070" s="148"/>
      <c r="Y1070" s="148"/>
      <c r="Z1070" s="148"/>
    </row>
    <row r="1071" spans="1:26" ht="15.75" customHeight="1" x14ac:dyDescent="0.25">
      <c r="A1071" s="148"/>
      <c r="B1071" s="148"/>
      <c r="C1071" s="148"/>
      <c r="D1071" s="148"/>
      <c r="E1071" s="148"/>
      <c r="F1071" s="148"/>
      <c r="G1071" s="148"/>
      <c r="H1071" s="148"/>
      <c r="I1071" s="148"/>
      <c r="J1071" s="148"/>
      <c r="K1071" s="148"/>
      <c r="L1071" s="148"/>
      <c r="M1071" s="148"/>
      <c r="N1071" s="148"/>
      <c r="O1071" s="148"/>
      <c r="P1071" s="148"/>
      <c r="Q1071" s="148"/>
      <c r="R1071" s="148"/>
      <c r="S1071" s="148"/>
      <c r="T1071" s="148"/>
      <c r="U1071" s="148"/>
      <c r="V1071" s="148"/>
      <c r="W1071" s="148"/>
      <c r="X1071" s="148"/>
      <c r="Y1071" s="148"/>
      <c r="Z1071" s="148"/>
    </row>
    <row r="1072" spans="1:26" ht="15.75" customHeight="1" x14ac:dyDescent="0.25">
      <c r="A1072" s="148"/>
      <c r="B1072" s="148"/>
      <c r="C1072" s="148"/>
      <c r="D1072" s="148"/>
      <c r="E1072" s="148"/>
      <c r="F1072" s="148"/>
      <c r="G1072" s="148"/>
      <c r="H1072" s="148"/>
      <c r="I1072" s="148"/>
      <c r="J1072" s="148"/>
      <c r="K1072" s="148"/>
      <c r="L1072" s="148"/>
      <c r="M1072" s="148"/>
      <c r="N1072" s="148"/>
      <c r="O1072" s="148"/>
      <c r="P1072" s="148"/>
      <c r="Q1072" s="148"/>
      <c r="R1072" s="148"/>
      <c r="S1072" s="148"/>
      <c r="T1072" s="148"/>
      <c r="U1072" s="148"/>
      <c r="V1072" s="148"/>
      <c r="W1072" s="148"/>
      <c r="X1072" s="148"/>
      <c r="Y1072" s="148"/>
      <c r="Z1072" s="148"/>
    </row>
    <row r="1073" spans="1:26" ht="15.75" customHeight="1" x14ac:dyDescent="0.25">
      <c r="A1073" s="148"/>
      <c r="B1073" s="148"/>
      <c r="C1073" s="148"/>
      <c r="D1073" s="148"/>
      <c r="E1073" s="148"/>
      <c r="F1073" s="148"/>
      <c r="G1073" s="148"/>
      <c r="H1073" s="148"/>
      <c r="I1073" s="148"/>
      <c r="J1073" s="148"/>
      <c r="K1073" s="148"/>
      <c r="L1073" s="148"/>
      <c r="M1073" s="148"/>
      <c r="N1073" s="148"/>
      <c r="O1073" s="148"/>
      <c r="P1073" s="148"/>
      <c r="Q1073" s="148"/>
      <c r="R1073" s="148"/>
      <c r="S1073" s="148"/>
      <c r="T1073" s="148"/>
      <c r="U1073" s="148"/>
      <c r="V1073" s="148"/>
      <c r="W1073" s="148"/>
      <c r="X1073" s="148"/>
      <c r="Y1073" s="148"/>
      <c r="Z1073" s="148"/>
    </row>
    <row r="1074" spans="1:26" ht="15.75" customHeight="1" x14ac:dyDescent="0.25">
      <c r="A1074" s="148"/>
      <c r="B1074" s="148"/>
      <c r="C1074" s="148"/>
      <c r="D1074" s="148"/>
      <c r="E1074" s="148"/>
      <c r="F1074" s="148"/>
      <c r="G1074" s="148"/>
      <c r="H1074" s="148"/>
      <c r="I1074" s="148"/>
      <c r="J1074" s="148"/>
      <c r="K1074" s="148"/>
      <c r="L1074" s="148"/>
      <c r="M1074" s="148"/>
      <c r="N1074" s="148"/>
      <c r="O1074" s="148"/>
      <c r="P1074" s="148"/>
      <c r="Q1074" s="148"/>
      <c r="R1074" s="148"/>
      <c r="S1074" s="148"/>
      <c r="T1074" s="148"/>
      <c r="U1074" s="148"/>
      <c r="V1074" s="148"/>
      <c r="W1074" s="148"/>
      <c r="X1074" s="148"/>
      <c r="Y1074" s="148"/>
      <c r="Z1074" s="148"/>
    </row>
    <row r="1075" spans="1:26" ht="15.75" customHeight="1" x14ac:dyDescent="0.25">
      <c r="A1075" s="148"/>
      <c r="B1075" s="148"/>
      <c r="C1075" s="148"/>
      <c r="D1075" s="148"/>
      <c r="E1075" s="148"/>
      <c r="F1075" s="148"/>
      <c r="G1075" s="148"/>
      <c r="H1075" s="148"/>
      <c r="I1075" s="148"/>
      <c r="J1075" s="148"/>
      <c r="K1075" s="148"/>
      <c r="L1075" s="148"/>
      <c r="M1075" s="148"/>
      <c r="N1075" s="148"/>
      <c r="O1075" s="148"/>
      <c r="P1075" s="148"/>
      <c r="Q1075" s="148"/>
      <c r="R1075" s="148"/>
      <c r="S1075" s="148"/>
      <c r="T1075" s="148"/>
      <c r="U1075" s="148"/>
      <c r="V1075" s="148"/>
      <c r="W1075" s="148"/>
      <c r="X1075" s="148"/>
      <c r="Y1075" s="148"/>
      <c r="Z1075" s="148"/>
    </row>
    <row r="1076" spans="1:26" ht="15.75" customHeight="1" x14ac:dyDescent="0.25">
      <c r="A1076" s="148"/>
      <c r="B1076" s="148"/>
      <c r="C1076" s="148"/>
      <c r="D1076" s="148"/>
      <c r="E1076" s="148"/>
      <c r="F1076" s="148"/>
      <c r="G1076" s="148"/>
      <c r="H1076" s="148"/>
      <c r="I1076" s="148"/>
      <c r="J1076" s="148"/>
      <c r="K1076" s="148"/>
      <c r="L1076" s="148"/>
      <c r="M1076" s="148"/>
      <c r="N1076" s="148"/>
      <c r="O1076" s="148"/>
      <c r="P1076" s="148"/>
      <c r="Q1076" s="148"/>
      <c r="R1076" s="148"/>
      <c r="S1076" s="148"/>
      <c r="T1076" s="148"/>
      <c r="U1076" s="148"/>
      <c r="V1076" s="148"/>
      <c r="W1076" s="148"/>
      <c r="X1076" s="148"/>
      <c r="Y1076" s="148"/>
      <c r="Z1076" s="148"/>
    </row>
    <row r="1077" spans="1:26" ht="15.75" customHeight="1" x14ac:dyDescent="0.25">
      <c r="A1077" s="148"/>
      <c r="B1077" s="148"/>
      <c r="C1077" s="148"/>
      <c r="D1077" s="148"/>
      <c r="E1077" s="148"/>
      <c r="F1077" s="148"/>
      <c r="G1077" s="148"/>
      <c r="H1077" s="148"/>
      <c r="I1077" s="148"/>
      <c r="J1077" s="148"/>
      <c r="K1077" s="148"/>
      <c r="L1077" s="148"/>
      <c r="M1077" s="148"/>
      <c r="N1077" s="148"/>
      <c r="O1077" s="148"/>
      <c r="P1077" s="148"/>
      <c r="Q1077" s="148"/>
      <c r="R1077" s="148"/>
      <c r="S1077" s="148"/>
      <c r="T1077" s="148"/>
      <c r="U1077" s="148"/>
      <c r="V1077" s="148"/>
      <c r="W1077" s="148"/>
      <c r="X1077" s="148"/>
      <c r="Y1077" s="148"/>
      <c r="Z1077" s="148"/>
    </row>
    <row r="1078" spans="1:26" ht="15.75" customHeight="1" x14ac:dyDescent="0.25">
      <c r="A1078" s="148"/>
      <c r="B1078" s="148"/>
      <c r="C1078" s="148"/>
      <c r="D1078" s="148"/>
      <c r="E1078" s="148"/>
      <c r="F1078" s="148"/>
      <c r="G1078" s="148"/>
      <c r="H1078" s="148"/>
      <c r="I1078" s="148"/>
      <c r="J1078" s="148"/>
      <c r="K1078" s="148"/>
      <c r="L1078" s="148"/>
      <c r="M1078" s="148"/>
      <c r="N1078" s="148"/>
      <c r="O1078" s="148"/>
      <c r="P1078" s="148"/>
      <c r="Q1078" s="148"/>
      <c r="R1078" s="148"/>
      <c r="S1078" s="148"/>
      <c r="T1078" s="148"/>
      <c r="U1078" s="148"/>
      <c r="V1078" s="148"/>
      <c r="W1078" s="148"/>
      <c r="X1078" s="148"/>
      <c r="Y1078" s="148"/>
      <c r="Z1078" s="148"/>
    </row>
    <row r="1079" spans="1:26" ht="15.75" customHeight="1" x14ac:dyDescent="0.25">
      <c r="A1079" s="148"/>
      <c r="B1079" s="148"/>
      <c r="C1079" s="148"/>
      <c r="D1079" s="148"/>
      <c r="E1079" s="148"/>
      <c r="F1079" s="148"/>
      <c r="G1079" s="148"/>
      <c r="H1079" s="148"/>
      <c r="I1079" s="148"/>
      <c r="J1079" s="148"/>
      <c r="K1079" s="148"/>
      <c r="L1079" s="148"/>
      <c r="M1079" s="148"/>
      <c r="N1079" s="148"/>
      <c r="O1079" s="148"/>
      <c r="P1079" s="148"/>
      <c r="Q1079" s="148"/>
      <c r="R1079" s="148"/>
      <c r="S1079" s="148"/>
      <c r="T1079" s="148"/>
      <c r="U1079" s="148"/>
      <c r="V1079" s="148"/>
      <c r="W1079" s="148"/>
      <c r="X1079" s="148"/>
      <c r="Y1079" s="148"/>
      <c r="Z1079" s="148"/>
    </row>
    <row r="1080" spans="1:26" ht="15.75" customHeight="1" x14ac:dyDescent="0.25">
      <c r="A1080" s="148"/>
      <c r="B1080" s="148"/>
      <c r="C1080" s="148"/>
      <c r="D1080" s="148"/>
      <c r="E1080" s="148"/>
      <c r="F1080" s="148"/>
      <c r="G1080" s="148"/>
      <c r="H1080" s="148"/>
      <c r="I1080" s="148"/>
      <c r="J1080" s="148"/>
      <c r="K1080" s="148"/>
      <c r="L1080" s="148"/>
      <c r="M1080" s="148"/>
      <c r="N1080" s="148"/>
      <c r="O1080" s="148"/>
      <c r="P1080" s="148"/>
      <c r="Q1080" s="148"/>
      <c r="R1080" s="148"/>
      <c r="S1080" s="148"/>
      <c r="T1080" s="148"/>
      <c r="U1080" s="148"/>
      <c r="V1080" s="148"/>
      <c r="W1080" s="148"/>
      <c r="X1080" s="148"/>
      <c r="Y1080" s="148"/>
      <c r="Z1080" s="148"/>
    </row>
    <row r="1081" spans="1:26" ht="15.75" customHeight="1" x14ac:dyDescent="0.25">
      <c r="A1081" s="148"/>
      <c r="B1081" s="148"/>
      <c r="C1081" s="148"/>
      <c r="D1081" s="148"/>
      <c r="E1081" s="148"/>
      <c r="F1081" s="148"/>
      <c r="G1081" s="148"/>
      <c r="H1081" s="148"/>
      <c r="I1081" s="148"/>
      <c r="J1081" s="148"/>
      <c r="K1081" s="148"/>
      <c r="L1081" s="148"/>
      <c r="M1081" s="148"/>
      <c r="N1081" s="148"/>
      <c r="O1081" s="148"/>
      <c r="P1081" s="148"/>
      <c r="Q1081" s="148"/>
      <c r="R1081" s="148"/>
      <c r="S1081" s="148"/>
      <c r="T1081" s="148"/>
      <c r="U1081" s="148"/>
      <c r="V1081" s="148"/>
      <c r="W1081" s="148"/>
      <c r="X1081" s="148"/>
      <c r="Y1081" s="148"/>
      <c r="Z1081" s="148"/>
    </row>
    <row r="1082" spans="1:26" ht="15.75" customHeight="1" x14ac:dyDescent="0.25">
      <c r="A1082" s="148"/>
      <c r="B1082" s="148"/>
      <c r="C1082" s="148"/>
      <c r="D1082" s="148"/>
      <c r="E1082" s="148"/>
      <c r="F1082" s="148"/>
      <c r="G1082" s="148"/>
      <c r="H1082" s="148"/>
      <c r="I1082" s="148"/>
      <c r="J1082" s="148"/>
      <c r="K1082" s="148"/>
      <c r="L1082" s="148"/>
      <c r="M1082" s="148"/>
      <c r="N1082" s="148"/>
      <c r="O1082" s="148"/>
      <c r="P1082" s="148"/>
      <c r="Q1082" s="148"/>
      <c r="R1082" s="148"/>
      <c r="S1082" s="148"/>
      <c r="T1082" s="148"/>
      <c r="U1082" s="148"/>
      <c r="V1082" s="148"/>
      <c r="W1082" s="148"/>
      <c r="X1082" s="148"/>
      <c r="Y1082" s="148"/>
      <c r="Z1082" s="148"/>
    </row>
  </sheetData>
  <mergeCells count="109">
    <mergeCell ref="A122:H122"/>
    <mergeCell ref="B123:E123"/>
    <mergeCell ref="B170:E170"/>
    <mergeCell ref="B171:E171"/>
    <mergeCell ref="B130:C130"/>
    <mergeCell ref="F130:G130"/>
    <mergeCell ref="B131:C131"/>
    <mergeCell ref="A132:H132"/>
    <mergeCell ref="A143:H143"/>
    <mergeCell ref="E165:G165"/>
    <mergeCell ref="E166:G166"/>
    <mergeCell ref="A136:B136"/>
    <mergeCell ref="A138:B138"/>
    <mergeCell ref="A139:B139"/>
    <mergeCell ref="A165:B165"/>
    <mergeCell ref="A166:B166"/>
    <mergeCell ref="F128:G128"/>
    <mergeCell ref="F129:G129"/>
    <mergeCell ref="F162:H162"/>
    <mergeCell ref="B128:C128"/>
    <mergeCell ref="B129:C129"/>
    <mergeCell ref="A137:B137"/>
    <mergeCell ref="C124:D124"/>
    <mergeCell ref="E124:G124"/>
    <mergeCell ref="B125:E125"/>
    <mergeCell ref="G125:H125"/>
    <mergeCell ref="B121:H121"/>
    <mergeCell ref="B34:C34"/>
    <mergeCell ref="B35:C35"/>
    <mergeCell ref="F44:H44"/>
    <mergeCell ref="A47:H47"/>
    <mergeCell ref="B73:C73"/>
    <mergeCell ref="B119:H119"/>
    <mergeCell ref="B104:H104"/>
    <mergeCell ref="B105:H105"/>
    <mergeCell ref="B106:H106"/>
    <mergeCell ref="B107:H107"/>
    <mergeCell ref="B67:H67"/>
    <mergeCell ref="B69:E69"/>
    <mergeCell ref="F70:H70"/>
    <mergeCell ref="B72:C72"/>
    <mergeCell ref="F72:H72"/>
    <mergeCell ref="F82:H82"/>
    <mergeCell ref="F71:H71"/>
    <mergeCell ref="F73:H73"/>
    <mergeCell ref="B78:E78"/>
    <mergeCell ref="F80:H80"/>
    <mergeCell ref="F81:H81"/>
    <mergeCell ref="B82:C82"/>
    <mergeCell ref="G48:H48"/>
    <mergeCell ref="A27:H27"/>
    <mergeCell ref="G28:H28"/>
    <mergeCell ref="A3:B3"/>
    <mergeCell ref="A5:H5"/>
    <mergeCell ref="F34:H34"/>
    <mergeCell ref="B29:H29"/>
    <mergeCell ref="B31:E31"/>
    <mergeCell ref="F32:H32"/>
    <mergeCell ref="F35:H35"/>
    <mergeCell ref="F33:H33"/>
    <mergeCell ref="B40:E40"/>
    <mergeCell ref="B44:C44"/>
    <mergeCell ref="B45:C45"/>
    <mergeCell ref="F45:H45"/>
    <mergeCell ref="F43:H43"/>
    <mergeCell ref="F42:H42"/>
    <mergeCell ref="B120:E120"/>
    <mergeCell ref="G120:H120"/>
    <mergeCell ref="B49:H49"/>
    <mergeCell ref="B51:E51"/>
    <mergeCell ref="F52:H52"/>
    <mergeCell ref="F64:H64"/>
    <mergeCell ref="G66:H66"/>
    <mergeCell ref="B54:C54"/>
    <mergeCell ref="F54:H54"/>
    <mergeCell ref="B55:C55"/>
    <mergeCell ref="F62:H62"/>
    <mergeCell ref="F63:H63"/>
    <mergeCell ref="B64:C64"/>
    <mergeCell ref="B65:C65"/>
    <mergeCell ref="F65:H65"/>
    <mergeCell ref="F53:H53"/>
    <mergeCell ref="F55:H55"/>
    <mergeCell ref="B60:E60"/>
    <mergeCell ref="B114:H114"/>
    <mergeCell ref="B83:C83"/>
    <mergeCell ref="F83:H83"/>
    <mergeCell ref="A102:H102"/>
    <mergeCell ref="B103:H103"/>
    <mergeCell ref="G84:H84"/>
    <mergeCell ref="B85:H85"/>
    <mergeCell ref="B87:E87"/>
    <mergeCell ref="F88:H88"/>
    <mergeCell ref="F89:H89"/>
    <mergeCell ref="B90:C90"/>
    <mergeCell ref="F90:H90"/>
    <mergeCell ref="B91:C91"/>
    <mergeCell ref="F91:H91"/>
    <mergeCell ref="B96:E96"/>
    <mergeCell ref="B113:H113"/>
    <mergeCell ref="F98:H98"/>
    <mergeCell ref="F99:H99"/>
    <mergeCell ref="B100:C100"/>
    <mergeCell ref="F100:H100"/>
    <mergeCell ref="B101:C101"/>
    <mergeCell ref="F101:H101"/>
    <mergeCell ref="B110:H110"/>
    <mergeCell ref="B111:H111"/>
    <mergeCell ref="B112:H112"/>
  </mergeCells>
  <conditionalFormatting sqref="E17:E20">
    <cfRule type="expression" dxfId="7" priority="2">
      <formula>ISERROR(E17)</formula>
    </cfRule>
  </conditionalFormatting>
  <conditionalFormatting sqref="E18:E20">
    <cfRule type="expression" dxfId="6" priority="3">
      <formula>ISERROR(E18)</formula>
    </cfRule>
  </conditionalFormatting>
  <conditionalFormatting sqref="F16:G20">
    <cfRule type="expression" dxfId="5" priority="4">
      <formula>ISERROR(F16)</formula>
    </cfRule>
  </conditionalFormatting>
  <conditionalFormatting sqref="B16:B18">
    <cfRule type="expression" dxfId="4" priority="5">
      <formula>ISERROR(B16)</formula>
    </cfRule>
  </conditionalFormatting>
  <conditionalFormatting sqref="F22:F23">
    <cfRule type="expression" dxfId="3" priority="6">
      <formula>ISERROR(F22)</formula>
    </cfRule>
  </conditionalFormatting>
  <conditionalFormatting sqref="F23">
    <cfRule type="containsText" dxfId="2" priority="7" operator="containsText" text="FALSO">
      <formula>NOT(ISERROR(SEARCH(("FALSO"),(F23))))</formula>
    </cfRule>
  </conditionalFormatting>
  <conditionalFormatting sqref="F23">
    <cfRule type="containsText" dxfId="1" priority="8" operator="containsText" text="FALSO">
      <formula>NOT(ISERROR(SEARCH(("FALSO"),(F23))))</formula>
    </cfRule>
  </conditionalFormatting>
  <conditionalFormatting sqref="F10:F11">
    <cfRule type="expression" dxfId="0" priority="1">
      <formula>ISERROR(F346)</formula>
    </cfRule>
  </conditionalFormatting>
  <dataValidations count="1">
    <dataValidation allowBlank="1" showInputMessage="1" showErrorMessage="1" promptTitle="LLENAR DATOS" prompt="En caso de ser una persona Copropiedad." sqref="I47:AT47 A47" xr:uid="{32192D15-537C-4863-8F00-12FE2C9ABC7B}"/>
  </dataValidations>
  <pageMargins left="0.64166666666666672" right="0.5" top="1.0249999999999999" bottom="0.75" header="0" footer="0"/>
  <pageSetup orientation="portrait" r:id="rId1"/>
  <rowBreaks count="1" manualBreakCount="1">
    <brk id="142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DDBCEBE-9428-469F-8D55-EED3D4CF855D}">
          <x14:formula1>
            <xm:f>DATOS!$C$46:$C$50</xm:f>
          </x14:formula1>
          <xm:sqref>B30 B68 B50 B86</xm:sqref>
        </x14:dataValidation>
        <x14:dataValidation type="list" allowBlank="1" showInputMessage="1" showErrorMessage="1" xr:uid="{80D2ECE1-BAB4-4DFD-A042-4936984DDD3E}">
          <x14:formula1>
            <xm:f>DATOS!$C$35:$C$44</xm:f>
          </x14:formula1>
          <xm:sqref>B33 B43 B63 B71 B81 B53 B109 B116 B89 B99</xm:sqref>
        </x14:dataValidation>
        <x14:dataValidation type="list" allowBlank="1" showInputMessage="1" showErrorMessage="1" xr:uid="{F881CC46-7AB1-4B08-B1A5-F588301D2D22}">
          <x14:formula1>
            <xm:f>DATOS!$C$29:$C$33</xm:f>
          </x14:formula1>
          <xm:sqref>B37 B75 B57 B93</xm:sqref>
        </x14:dataValidation>
        <x14:dataValidation type="list" allowBlank="1" showInputMessage="1" showErrorMessage="1" xr:uid="{FF763ACC-0CF7-4727-8899-4B752786D299}">
          <x14:formula1>
            <xm:f>DATOS!$C$52:$C$54</xm:f>
          </x14:formula1>
          <xm:sqref>B25</xm:sqref>
        </x14:dataValidation>
        <x14:dataValidation type="list" allowBlank="1" showInputMessage="1" showErrorMessage="1" xr:uid="{41D36F69-0362-4B59-9552-143A805DFF9A}">
          <x14:formula1>
            <xm:f>DATOS!$C$23:$C$26</xm:f>
          </x14:formula1>
          <xm:sqref>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EF6C5-52E3-48F7-87A4-05EAC19D5997}">
  <dimension ref="C2:G53"/>
  <sheetViews>
    <sheetView workbookViewId="0">
      <selection activeCell="A8" sqref="A8"/>
    </sheetView>
  </sheetViews>
  <sheetFormatPr baseColWidth="10" defaultRowHeight="15" x14ac:dyDescent="0.25"/>
  <cols>
    <col min="1" max="2" width="11.42578125" style="138"/>
    <col min="3" max="3" width="43.140625" style="138" customWidth="1"/>
    <col min="4" max="4" width="17.28515625" style="138" customWidth="1"/>
    <col min="5" max="5" width="28.7109375" style="138" bestFit="1" customWidth="1"/>
    <col min="6" max="16384" width="11.42578125" style="138"/>
  </cols>
  <sheetData>
    <row r="2" spans="3:7" x14ac:dyDescent="0.25">
      <c r="C2" s="135" t="s">
        <v>163</v>
      </c>
      <c r="D2" s="136" t="s">
        <v>164</v>
      </c>
      <c r="E2" s="137" t="s">
        <v>165</v>
      </c>
      <c r="F2" s="137" t="s">
        <v>166</v>
      </c>
      <c r="G2" s="137" t="s">
        <v>63</v>
      </c>
    </row>
    <row r="3" spans="3:7" ht="18" x14ac:dyDescent="0.25">
      <c r="C3" s="142" t="s">
        <v>4</v>
      </c>
      <c r="E3" s="139"/>
      <c r="G3" s="138">
        <v>15</v>
      </c>
    </row>
    <row r="4" spans="3:7" ht="18" x14ac:dyDescent="0.25">
      <c r="C4" s="142" t="s">
        <v>10</v>
      </c>
      <c r="E4" s="140"/>
      <c r="G4" s="138">
        <v>14</v>
      </c>
    </row>
    <row r="5" spans="3:7" ht="18" x14ac:dyDescent="0.25">
      <c r="C5" s="142" t="s">
        <v>12</v>
      </c>
      <c r="E5" s="139"/>
      <c r="G5" s="138">
        <v>13</v>
      </c>
    </row>
    <row r="6" spans="3:7" ht="18" x14ac:dyDescent="0.25">
      <c r="C6" s="142" t="s">
        <v>14</v>
      </c>
      <c r="E6" s="140"/>
      <c r="G6" s="138">
        <v>12</v>
      </c>
    </row>
    <row r="7" spans="3:7" ht="18" x14ac:dyDescent="0.25">
      <c r="C7" s="142" t="s">
        <v>3</v>
      </c>
      <c r="E7" s="140"/>
      <c r="G7" s="138">
        <v>11</v>
      </c>
    </row>
    <row r="8" spans="3:7" ht="18" x14ac:dyDescent="0.25">
      <c r="C8" s="142" t="s">
        <v>19</v>
      </c>
      <c r="E8" s="140"/>
      <c r="G8" s="138">
        <v>10</v>
      </c>
    </row>
    <row r="9" spans="3:7" ht="18" x14ac:dyDescent="0.25">
      <c r="C9" s="142" t="s">
        <v>22</v>
      </c>
      <c r="E9" s="140"/>
      <c r="G9" s="138">
        <v>9</v>
      </c>
    </row>
    <row r="10" spans="3:7" ht="18" x14ac:dyDescent="0.25">
      <c r="C10" s="142" t="s">
        <v>24</v>
      </c>
      <c r="E10" s="140"/>
      <c r="G10" s="138">
        <v>8</v>
      </c>
    </row>
    <row r="11" spans="3:7" ht="18" x14ac:dyDescent="0.25">
      <c r="C11" s="142" t="s">
        <v>26</v>
      </c>
      <c r="E11" s="140"/>
      <c r="G11" s="138">
        <v>7</v>
      </c>
    </row>
    <row r="12" spans="3:7" ht="18" x14ac:dyDescent="0.25">
      <c r="C12" s="142" t="s">
        <v>28</v>
      </c>
      <c r="E12" s="140"/>
      <c r="G12" s="138">
        <v>6</v>
      </c>
    </row>
    <row r="13" spans="3:7" ht="18" x14ac:dyDescent="0.25">
      <c r="C13" s="142" t="s">
        <v>31</v>
      </c>
      <c r="E13" s="140"/>
      <c r="G13" s="138">
        <v>5</v>
      </c>
    </row>
    <row r="14" spans="3:7" ht="18" x14ac:dyDescent="0.25">
      <c r="C14" s="142" t="s">
        <v>33</v>
      </c>
      <c r="E14" s="140"/>
      <c r="G14" s="138">
        <v>4</v>
      </c>
    </row>
    <row r="15" spans="3:7" x14ac:dyDescent="0.25">
      <c r="G15" s="138">
        <v>3</v>
      </c>
    </row>
    <row r="16" spans="3:7" x14ac:dyDescent="0.25">
      <c r="G16" s="138">
        <v>2</v>
      </c>
    </row>
    <row r="17" spans="3:7" x14ac:dyDescent="0.25">
      <c r="G17" s="138">
        <v>1</v>
      </c>
    </row>
    <row r="22" spans="3:7" x14ac:dyDescent="0.25">
      <c r="C22" s="138" t="s">
        <v>167</v>
      </c>
    </row>
    <row r="23" spans="3:7" x14ac:dyDescent="0.25">
      <c r="C23" s="138" t="s">
        <v>168</v>
      </c>
    </row>
    <row r="24" spans="3:7" x14ac:dyDescent="0.25">
      <c r="C24" s="138" t="s">
        <v>162</v>
      </c>
    </row>
    <row r="25" spans="3:7" x14ac:dyDescent="0.25">
      <c r="C25" s="138" t="s">
        <v>169</v>
      </c>
    </row>
    <row r="28" spans="3:7" x14ac:dyDescent="0.25">
      <c r="C28" s="138" t="s">
        <v>170</v>
      </c>
    </row>
    <row r="29" spans="3:7" x14ac:dyDescent="0.25">
      <c r="C29" s="141" t="s">
        <v>171</v>
      </c>
    </row>
    <row r="30" spans="3:7" x14ac:dyDescent="0.25">
      <c r="C30" s="141" t="s">
        <v>172</v>
      </c>
    </row>
    <row r="31" spans="3:7" x14ac:dyDescent="0.25">
      <c r="C31" s="141" t="s">
        <v>173</v>
      </c>
    </row>
    <row r="32" spans="3:7" x14ac:dyDescent="0.25">
      <c r="C32" s="141" t="s">
        <v>159</v>
      </c>
    </row>
    <row r="34" spans="3:3" x14ac:dyDescent="0.25">
      <c r="C34" s="138" t="s">
        <v>174</v>
      </c>
    </row>
    <row r="35" spans="3:3" x14ac:dyDescent="0.25">
      <c r="C35" s="138" t="s">
        <v>175</v>
      </c>
    </row>
    <row r="36" spans="3:3" x14ac:dyDescent="0.25">
      <c r="C36" s="138" t="s">
        <v>176</v>
      </c>
    </row>
    <row r="37" spans="3:3" x14ac:dyDescent="0.25">
      <c r="C37" s="138" t="s">
        <v>148</v>
      </c>
    </row>
    <row r="38" spans="3:3" x14ac:dyDescent="0.25">
      <c r="C38" s="138" t="s">
        <v>177</v>
      </c>
    </row>
    <row r="39" spans="3:3" x14ac:dyDescent="0.25">
      <c r="C39" s="138" t="s">
        <v>178</v>
      </c>
    </row>
    <row r="40" spans="3:3" x14ac:dyDescent="0.25">
      <c r="C40" s="138" t="s">
        <v>179</v>
      </c>
    </row>
    <row r="41" spans="3:3" x14ac:dyDescent="0.25">
      <c r="C41" s="138" t="s">
        <v>180</v>
      </c>
    </row>
    <row r="42" spans="3:3" x14ac:dyDescent="0.25">
      <c r="C42" s="138" t="s">
        <v>181</v>
      </c>
    </row>
    <row r="43" spans="3:3" x14ac:dyDescent="0.25">
      <c r="C43" s="138" t="s">
        <v>182</v>
      </c>
    </row>
    <row r="45" spans="3:3" x14ac:dyDescent="0.25">
      <c r="C45" s="138" t="s">
        <v>183</v>
      </c>
    </row>
    <row r="46" spans="3:3" x14ac:dyDescent="0.25">
      <c r="C46" s="138" t="s">
        <v>155</v>
      </c>
    </row>
    <row r="47" spans="3:3" x14ac:dyDescent="0.25">
      <c r="C47" s="138" t="s">
        <v>184</v>
      </c>
    </row>
    <row r="48" spans="3:3" x14ac:dyDescent="0.25">
      <c r="C48" s="138" t="s">
        <v>185</v>
      </c>
    </row>
    <row r="49" spans="3:3" x14ac:dyDescent="0.25">
      <c r="C49" s="138" t="s">
        <v>182</v>
      </c>
    </row>
    <row r="51" spans="3:3" x14ac:dyDescent="0.25">
      <c r="C51" s="138" t="s">
        <v>186</v>
      </c>
    </row>
    <row r="52" spans="3:3" x14ac:dyDescent="0.25">
      <c r="C52" s="138" t="s">
        <v>160</v>
      </c>
    </row>
    <row r="53" spans="3:3" x14ac:dyDescent="0.25">
      <c r="C53" s="138" t="s">
        <v>187</v>
      </c>
    </row>
  </sheetData>
  <hyperlinks>
    <hyperlink ref="C29" r:id="rId1" xr:uid="{E4C9BD5E-2C4A-434D-BD55-B031D19013CF}"/>
    <hyperlink ref="C30" r:id="rId2" xr:uid="{4AD9365B-2FBC-4BE9-8824-DBB3DFA97A52}"/>
    <hyperlink ref="C31" r:id="rId3" xr:uid="{6EBFA9AC-444C-4941-B815-39D53ABF7DBD}"/>
    <hyperlink ref="C32" r:id="rId4" xr:uid="{6666A07D-A937-4296-A1B2-C2460B7F9A4A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07CB9D-BB9F-4271-BBD6-BFF0F68EF8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SIMULADOR</vt:lpstr>
      <vt:lpstr>HOJA DE REGISTRO</vt:lpstr>
      <vt:lpstr>DATOS</vt:lpstr>
      <vt:lpstr>SIMULADOR!Área_de_impresión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Control y Medición</dc:creator>
  <cp:lastModifiedBy>Marisol  Guerrero Zea</cp:lastModifiedBy>
  <cp:lastPrinted>2022-06-16T13:21:59Z</cp:lastPrinted>
  <dcterms:created xsi:type="dcterms:W3CDTF">2020-07-28T19:57:41Z</dcterms:created>
  <dcterms:modified xsi:type="dcterms:W3CDTF">2022-06-16T13:23:16Z</dcterms:modified>
</cp:coreProperties>
</file>